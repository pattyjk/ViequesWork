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b80f50dfe99ba93/Desktop/Amplicon_P.R_Sediments/ITS_R/ITS_ampl_sed/"/>
    </mc:Choice>
  </mc:AlternateContent>
  <xr:revisionPtr revIDLastSave="0" documentId="8_{C923EF05-F80C-4819-9CED-2BB0FCCF8AE0}" xr6:coauthVersionLast="47" xr6:coauthVersionMax="47" xr10:uidLastSave="{00000000-0000-0000-0000-000000000000}"/>
  <bookViews>
    <workbookView xWindow="19090" yWindow="-110" windowWidth="19420" windowHeight="10300" xr2:uid="{B039246B-B151-4DE6-BDE8-C32B654D31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0" i="1" l="1"/>
  <c r="K30" i="1"/>
  <c r="M29" i="1"/>
  <c r="K29" i="1"/>
  <c r="M28" i="1"/>
  <c r="K28" i="1"/>
  <c r="M27" i="1"/>
  <c r="K27" i="1"/>
  <c r="M26" i="1"/>
  <c r="K26" i="1"/>
  <c r="M25" i="1"/>
  <c r="K25" i="1"/>
  <c r="M24" i="1"/>
  <c r="K24" i="1"/>
  <c r="M23" i="1"/>
  <c r="K23" i="1"/>
  <c r="M22" i="1"/>
  <c r="K22" i="1"/>
  <c r="M21" i="1"/>
  <c r="K21" i="1"/>
  <c r="M20" i="1"/>
  <c r="K20" i="1"/>
  <c r="M19" i="1"/>
  <c r="K19" i="1"/>
  <c r="M18" i="1"/>
  <c r="K18" i="1"/>
  <c r="M17" i="1"/>
  <c r="K17" i="1"/>
  <c r="K16" i="1"/>
  <c r="M15" i="1"/>
  <c r="K15" i="1"/>
  <c r="M14" i="1"/>
  <c r="K14" i="1"/>
  <c r="M13" i="1"/>
  <c r="K13" i="1"/>
  <c r="M12" i="1"/>
  <c r="K12" i="1"/>
  <c r="M11" i="1"/>
  <c r="K11" i="1"/>
  <c r="M10" i="1"/>
  <c r="K10" i="1"/>
  <c r="M9" i="1"/>
  <c r="K9" i="1"/>
  <c r="M8" i="1"/>
  <c r="K8" i="1"/>
  <c r="M7" i="1"/>
  <c r="K7" i="1"/>
  <c r="M6" i="1"/>
  <c r="K6" i="1"/>
  <c r="M5" i="1"/>
  <c r="K5" i="1"/>
  <c r="M4" i="1"/>
  <c r="K4" i="1"/>
  <c r="M3" i="1"/>
  <c r="K3" i="1"/>
  <c r="M2" i="1"/>
  <c r="K2" i="1"/>
</calcChain>
</file>

<file path=xl/sharedStrings.xml><?xml version="1.0" encoding="utf-8"?>
<sst xmlns="http://schemas.openxmlformats.org/spreadsheetml/2006/main" count="415" uniqueCount="203">
  <si>
    <t>sampleid</t>
  </si>
  <si>
    <t>AX1</t>
  </si>
  <si>
    <t>AX2</t>
  </si>
  <si>
    <t>ammonia.x</t>
  </si>
  <si>
    <t>sample_type.x</t>
  </si>
  <si>
    <t>textural_group.x</t>
  </si>
  <si>
    <t>sediment_name.x</t>
  </si>
  <si>
    <t>percent_gravel.x</t>
  </si>
  <si>
    <t>percent_sand.x</t>
  </si>
  <si>
    <t>percent_mud.x</t>
  </si>
  <si>
    <t>percent_v_coarse_gravel.x</t>
  </si>
  <si>
    <t>percent_coarse_gravel.x</t>
  </si>
  <si>
    <t>percent_medium_gravel.x</t>
  </si>
  <si>
    <t>percent_fine_gravel.x</t>
  </si>
  <si>
    <t>percent_v_fine_gravel.x</t>
  </si>
  <si>
    <t>percent_v_coarse_sand.x</t>
  </si>
  <si>
    <t>percent_coarse_sand.x</t>
  </si>
  <si>
    <t>percent_medium_sand.x</t>
  </si>
  <si>
    <t>percent_fine_sand.x</t>
  </si>
  <si>
    <t>percent_v_fine_sand.x</t>
  </si>
  <si>
    <t>percent_v_coarse_silt.x</t>
  </si>
  <si>
    <t>percent_coarse_silt.x</t>
  </si>
  <si>
    <t>percent_medium_silt.x</t>
  </si>
  <si>
    <t>percent_fine_silt.x</t>
  </si>
  <si>
    <t>percent_v_fine_silt.x</t>
  </si>
  <si>
    <t>percent_clay.x</t>
  </si>
  <si>
    <t>zone</t>
  </si>
  <si>
    <t>location</t>
  </si>
  <si>
    <t>LBQ1</t>
  </si>
  <si>
    <t xml:space="preserve">Laguna Boca quebrada </t>
  </si>
  <si>
    <t>LBQ-SF_1</t>
  </si>
  <si>
    <t>Site1</t>
  </si>
  <si>
    <t>Laguna Boca quebrada Site1</t>
  </si>
  <si>
    <t>Trimodal, Poorly Sorted</t>
  </si>
  <si>
    <t>Muddy Sand</t>
  </si>
  <si>
    <t>Very Coarse Silty Medium Sand</t>
  </si>
  <si>
    <t>LBQ2</t>
  </si>
  <si>
    <t>LBQ-SF_2</t>
  </si>
  <si>
    <t>Site2</t>
  </si>
  <si>
    <t>Laguna Boca quebrada Site2</t>
  </si>
  <si>
    <t>Polymodal, Poorly Sorted</t>
  </si>
  <si>
    <t>Sandy Mud</t>
  </si>
  <si>
    <t>Very Fine Sandy Very Coarse Silt</t>
  </si>
  <si>
    <t>LBQ3</t>
  </si>
  <si>
    <t>LBQ-SF_3</t>
  </si>
  <si>
    <t>Site3</t>
  </si>
  <si>
    <t>Laguna Boca quebrada Site3</t>
  </si>
  <si>
    <t>LIK1</t>
  </si>
  <si>
    <t xml:space="preserve">Lagoon Kiani </t>
  </si>
  <si>
    <t>LKI1</t>
  </si>
  <si>
    <t>LKI_1</t>
  </si>
  <si>
    <t>Lagoon Kiani Site1</t>
  </si>
  <si>
    <t>Polymodal, Very Poorly Sorted</t>
  </si>
  <si>
    <t>Slightly Gravelly Muddy Sand</t>
  </si>
  <si>
    <t>Slightly Very Fine Gravelly Very Coarse Silty Medium Sand</t>
  </si>
  <si>
    <t>LIK2</t>
  </si>
  <si>
    <t>LKI2</t>
  </si>
  <si>
    <t>LKI_2</t>
  </si>
  <si>
    <t>Lagoon Kiani Site2</t>
  </si>
  <si>
    <t>LIK3</t>
  </si>
  <si>
    <t>LKI3</t>
  </si>
  <si>
    <t>LKI_3</t>
  </si>
  <si>
    <t>Lagoon Kiani Site3</t>
  </si>
  <si>
    <t>LPG1</t>
  </si>
  <si>
    <t xml:space="preserve">Lagoon Playa Grande </t>
  </si>
  <si>
    <t>LPG_1</t>
  </si>
  <si>
    <t>Lagoon Playa Grande Site1</t>
  </si>
  <si>
    <t>Gravelly Muddy Sand</t>
  </si>
  <si>
    <t>Very Fine Gravelly Very Coarse Silty Very Coarse Sand</t>
  </si>
  <si>
    <t>LPG2</t>
  </si>
  <si>
    <t>LPG_2</t>
  </si>
  <si>
    <t>Lagoon Playa Grande Site2</t>
  </si>
  <si>
    <t>LPG3</t>
  </si>
  <si>
    <t>LPG_3</t>
  </si>
  <si>
    <t>Lagoon Playa Grande Site3</t>
  </si>
  <si>
    <t>Unimodal, Moderately Sorted</t>
  </si>
  <si>
    <t>Sandy Gravel</t>
  </si>
  <si>
    <t>Sandy Very Fine Gravel</t>
  </si>
  <si>
    <t>ESZB1</t>
  </si>
  <si>
    <t xml:space="preserve">Ezperanza Beach </t>
  </si>
  <si>
    <t>ESZB_1</t>
  </si>
  <si>
    <t>Ezperanza Beach Site1</t>
  </si>
  <si>
    <t>ESZB2</t>
  </si>
  <si>
    <t>ESZB_2</t>
  </si>
  <si>
    <t>Ezperanza Beach Site2</t>
  </si>
  <si>
    <t>ESZB3</t>
  </si>
  <si>
    <t>ESZB_3</t>
  </si>
  <si>
    <t>Ezperanza Beach Site3</t>
  </si>
  <si>
    <t>Bimodal, Moderately Sorted</t>
  </si>
  <si>
    <t>Gravelly Sand</t>
  </si>
  <si>
    <t>Very Fine Gravelly Coarse Sand</t>
  </si>
  <si>
    <t>MB1</t>
  </si>
  <si>
    <t xml:space="preserve">Mosquito bay </t>
  </si>
  <si>
    <t>MB_1</t>
  </si>
  <si>
    <t>Mosquito bay Site1</t>
  </si>
  <si>
    <t>Fine Gravelly Very Coarse Silty Coarse Sand</t>
  </si>
  <si>
    <t>MB2</t>
  </si>
  <si>
    <t>MB_2</t>
  </si>
  <si>
    <t>Mosquito bay Site2</t>
  </si>
  <si>
    <t>Slightly Very Fine Gravelly Very Coarse Silty Fine Sand</t>
  </si>
  <si>
    <t>SLS1</t>
  </si>
  <si>
    <t xml:space="preserve">Sombe Lagoon </t>
  </si>
  <si>
    <t>SLSB1</t>
  </si>
  <si>
    <t>SLSB_1</t>
  </si>
  <si>
    <t>Sombe Lagoon Site1</t>
  </si>
  <si>
    <t>SLS2</t>
  </si>
  <si>
    <t>SLSB2</t>
  </si>
  <si>
    <t>SLSB_2</t>
  </si>
  <si>
    <t>Sombe Lagoon Site2</t>
  </si>
  <si>
    <t>SLS3</t>
  </si>
  <si>
    <t>SLSB3</t>
  </si>
  <si>
    <t>SLSB_3</t>
  </si>
  <si>
    <t>Sombe Lagoon Site3</t>
  </si>
  <si>
    <t>ISNC1</t>
  </si>
  <si>
    <t>Isabel II</t>
  </si>
  <si>
    <t>ISNC_1</t>
  </si>
  <si>
    <t>Isabel IISite1</t>
  </si>
  <si>
    <t>Very Fine Gravelly Fine Sand</t>
  </si>
  <si>
    <t>ISNC2</t>
  </si>
  <si>
    <t>ISNC_2</t>
  </si>
  <si>
    <t>Isabel IISite2</t>
  </si>
  <si>
    <t>ISNC3</t>
  </si>
  <si>
    <t>ISNC_3</t>
  </si>
  <si>
    <t>Isabel IISite3</t>
  </si>
  <si>
    <t>Bimodal, Poorly Sorted</t>
  </si>
  <si>
    <t>Medium Gravelly Coarse Sand</t>
  </si>
  <si>
    <t>LALG1</t>
  </si>
  <si>
    <t>Algodones</t>
  </si>
  <si>
    <t>LALG 1</t>
  </si>
  <si>
    <t>LALG-SF_1</t>
  </si>
  <si>
    <t>AlgodonesSite1</t>
  </si>
  <si>
    <t>NA</t>
  </si>
  <si>
    <t>Slightly Very Fine Gravelly Very Coarse Silty Coarse Sand</t>
  </si>
  <si>
    <t>LALG2</t>
  </si>
  <si>
    <t>LALG 2</t>
  </si>
  <si>
    <t>LALG-SF_2</t>
  </si>
  <si>
    <t>AlgodonesSite2</t>
  </si>
  <si>
    <t>Very Coarse Silty Coarse Sand</t>
  </si>
  <si>
    <t>LALG3</t>
  </si>
  <si>
    <t>LALG 3</t>
  </si>
  <si>
    <t>LALG-SF_3</t>
  </si>
  <si>
    <t>AlgodonesSite3</t>
  </si>
  <si>
    <t>BBSS1</t>
  </si>
  <si>
    <t xml:space="preserve">Bahia Salinas del Sur </t>
  </si>
  <si>
    <t>BBSS-SF_1</t>
  </si>
  <si>
    <t>Bahia Salinas del Sur Site1</t>
  </si>
  <si>
    <t>Slightly Gravelly Sand</t>
  </si>
  <si>
    <t>Slightly Very Fine Gravelly Medium Sand</t>
  </si>
  <si>
    <t>BBSS2</t>
  </si>
  <si>
    <t>BBSS-SF_2</t>
  </si>
  <si>
    <t>Bahia Salinas del Sur Site2</t>
  </si>
  <si>
    <t>Trimodal, Moderately Sorted</t>
  </si>
  <si>
    <t>Slightly Very Fine Gravelly Fine Sand</t>
  </si>
  <si>
    <t>BBSS3</t>
  </si>
  <si>
    <t>BBSS-SF_3</t>
  </si>
  <si>
    <t>Bahia Salinas del Sur Site3</t>
  </si>
  <si>
    <t>LAN1</t>
  </si>
  <si>
    <t xml:space="preserve">Anones </t>
  </si>
  <si>
    <t>LAN-SF_1</t>
  </si>
  <si>
    <t>Anones Site1</t>
  </si>
  <si>
    <t>Slightly Very Fine Gravelly Very Coarse Silty Very Fine Sand</t>
  </si>
  <si>
    <t>LAN2</t>
  </si>
  <si>
    <t>LAN-SF_2</t>
  </si>
  <si>
    <t>Anones Site2</t>
  </si>
  <si>
    <t>LAN3</t>
  </si>
  <si>
    <t>LAN-SF_3</t>
  </si>
  <si>
    <t>Anones Site3</t>
  </si>
  <si>
    <t>Unimodal, Poorly Sorted</t>
  </si>
  <si>
    <t>PCoA Axis.1</t>
  </si>
  <si>
    <t>PCoA Axis.2</t>
  </si>
  <si>
    <t>site_abbreviation</t>
  </si>
  <si>
    <t>sample_id</t>
  </si>
  <si>
    <t>percent_org_total</t>
  </si>
  <si>
    <t>richness</t>
  </si>
  <si>
    <t>shannon</t>
  </si>
  <si>
    <t>name</t>
  </si>
  <si>
    <t>DO</t>
  </si>
  <si>
    <t>pH</t>
  </si>
  <si>
    <t>Conductivity</t>
  </si>
  <si>
    <t>Salinity</t>
  </si>
  <si>
    <t>96hrs_survial_percent</t>
  </si>
  <si>
    <t>Cu (mg/Kg)</t>
  </si>
  <si>
    <t>Ni (mg/Kg)</t>
  </si>
  <si>
    <t>Zn (mg/Kg)</t>
  </si>
  <si>
    <t>Co (mg/Kg)</t>
  </si>
  <si>
    <t>site</t>
  </si>
  <si>
    <t>lat.</t>
  </si>
  <si>
    <t>long.</t>
  </si>
  <si>
    <t xml:space="preserve">Tox_Rank </t>
  </si>
  <si>
    <t>Tox_Category</t>
  </si>
  <si>
    <t>Very High Mortality</t>
  </si>
  <si>
    <t>High Mortality</t>
  </si>
  <si>
    <t>Moderate Mortality</t>
  </si>
  <si>
    <t>Low Mortality</t>
  </si>
  <si>
    <t>Survival_100._96hrs</t>
  </si>
  <si>
    <t>Mortality_100._96hrs</t>
  </si>
  <si>
    <t>Survival.10._24hrs</t>
  </si>
  <si>
    <t>Mortality.10._24hrs</t>
  </si>
  <si>
    <t>Survival.1.25._24.hrs</t>
  </si>
  <si>
    <t>site_number</t>
  </si>
  <si>
    <t>temperature</t>
  </si>
  <si>
    <t>NMDS1</t>
  </si>
  <si>
    <t>NMDS2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</si>
</sst>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7A01E-F34B-422C-9AF0-23426FB5611C}">
  <dimension ref="A1:DE30"/>
  <sheetViews>
    <sheetView tabSelected="1" workbookViewId="0">
      <selection activeCell="X4" sqref="X4"/>
    </sheetView>
  </sheetViews>
  <sheetFormatPr defaultRowHeight="14.4" x14ac:dyDescent="0.3"/>
  <cols>
    <col min="8" max="8" width="8.6640625" customWidth="1"/>
    <col min="9" max="9" width="15.88671875" customWidth="1"/>
    <col min="10" max="11" width="17.88671875" customWidth="1"/>
    <col min="12" max="13" width="16.44140625" customWidth="1"/>
    <col min="14" max="14" width="15.33203125" customWidth="1"/>
    <col min="61" max="61" width="16.44140625" customWidth="1"/>
  </cols>
  <sheetData>
    <row r="1" spans="1:109" s="2" customFormat="1" ht="43.8" thickBot="1" x14ac:dyDescent="0.35">
      <c r="A1" s="2" t="s">
        <v>0</v>
      </c>
      <c r="B1" s="2" t="s">
        <v>1</v>
      </c>
      <c r="C1" s="2" t="s">
        <v>2</v>
      </c>
      <c r="D1" s="2" t="s">
        <v>168</v>
      </c>
      <c r="E1" s="2" t="s">
        <v>169</v>
      </c>
      <c r="F1" s="2" t="s">
        <v>26</v>
      </c>
      <c r="G1" s="2" t="s">
        <v>27</v>
      </c>
      <c r="H1" t="s">
        <v>188</v>
      </c>
      <c r="I1" s="3" t="s">
        <v>189</v>
      </c>
      <c r="J1" t="s">
        <v>194</v>
      </c>
      <c r="K1" t="s">
        <v>195</v>
      </c>
      <c r="L1" t="s">
        <v>196</v>
      </c>
      <c r="M1" t="s">
        <v>197</v>
      </c>
      <c r="N1" t="s">
        <v>198</v>
      </c>
      <c r="O1" s="2" t="s">
        <v>170</v>
      </c>
      <c r="P1" s="2" t="s">
        <v>171</v>
      </c>
      <c r="Q1" s="2" t="s">
        <v>185</v>
      </c>
      <c r="R1" s="2" t="s">
        <v>186</v>
      </c>
      <c r="S1" s="2" t="s">
        <v>187</v>
      </c>
      <c r="T1" s="2" t="s">
        <v>172</v>
      </c>
      <c r="U1" s="2" t="s">
        <v>173</v>
      </c>
      <c r="V1" s="2" t="s">
        <v>174</v>
      </c>
      <c r="W1" t="s">
        <v>201</v>
      </c>
      <c r="X1" t="s">
        <v>202</v>
      </c>
      <c r="Y1" s="2" t="s">
        <v>199</v>
      </c>
      <c r="Z1" s="2" t="s">
        <v>175</v>
      </c>
      <c r="AA1" s="2" t="s">
        <v>200</v>
      </c>
      <c r="AB1" s="2" t="s">
        <v>176</v>
      </c>
      <c r="AC1" s="2" t="s">
        <v>177</v>
      </c>
      <c r="AD1" s="2" t="s">
        <v>178</v>
      </c>
      <c r="AE1" s="2" t="s">
        <v>3</v>
      </c>
      <c r="AF1" s="2" t="s">
        <v>179</v>
      </c>
      <c r="AG1" s="2" t="s">
        <v>180</v>
      </c>
      <c r="AH1" t="s">
        <v>181</v>
      </c>
      <c r="AI1" t="s">
        <v>182</v>
      </c>
      <c r="AJ1" t="s">
        <v>183</v>
      </c>
      <c r="AK1" t="s">
        <v>184</v>
      </c>
      <c r="AL1"/>
      <c r="AM1"/>
      <c r="AN1" s="2" t="s">
        <v>4</v>
      </c>
      <c r="AO1" s="2" t="s">
        <v>5</v>
      </c>
      <c r="AP1" s="2" t="s">
        <v>6</v>
      </c>
      <c r="AQ1" s="2" t="s">
        <v>7</v>
      </c>
      <c r="AR1" s="2" t="s">
        <v>8</v>
      </c>
      <c r="AS1" s="2" t="s">
        <v>9</v>
      </c>
      <c r="AT1" s="2" t="s">
        <v>10</v>
      </c>
      <c r="AU1" s="2" t="s">
        <v>11</v>
      </c>
      <c r="AV1" s="2" t="s">
        <v>12</v>
      </c>
      <c r="AW1" s="2" t="s">
        <v>13</v>
      </c>
      <c r="AX1" s="2" t="s">
        <v>14</v>
      </c>
      <c r="AY1" s="2" t="s">
        <v>15</v>
      </c>
      <c r="AZ1" s="2" t="s">
        <v>16</v>
      </c>
      <c r="BA1" s="2" t="s">
        <v>17</v>
      </c>
      <c r="BB1" s="2" t="s">
        <v>18</v>
      </c>
      <c r="BC1" s="2" t="s">
        <v>19</v>
      </c>
      <c r="BD1" s="2" t="s">
        <v>20</v>
      </c>
      <c r="BE1" s="2" t="s">
        <v>21</v>
      </c>
      <c r="BF1" s="2" t="s">
        <v>22</v>
      </c>
      <c r="BG1" s="2" t="s">
        <v>23</v>
      </c>
      <c r="BH1" s="2" t="s">
        <v>24</v>
      </c>
      <c r="BI1" s="2" t="s">
        <v>25</v>
      </c>
    </row>
    <row r="2" spans="1:109" ht="27.6" thickBot="1" x14ac:dyDescent="0.35">
      <c r="A2" t="s">
        <v>28</v>
      </c>
      <c r="B2">
        <v>-0.36631419255054798</v>
      </c>
      <c r="C2">
        <v>-0.17145292358630601</v>
      </c>
      <c r="D2">
        <v>-0.36631419255054798</v>
      </c>
      <c r="E2">
        <v>-0.17145292358630601</v>
      </c>
      <c r="F2">
        <v>1</v>
      </c>
      <c r="G2" t="s">
        <v>29</v>
      </c>
      <c r="H2">
        <v>5</v>
      </c>
      <c r="I2" s="3" t="s">
        <v>190</v>
      </c>
      <c r="J2">
        <v>0</v>
      </c>
      <c r="K2">
        <f>100-J2</f>
        <v>100</v>
      </c>
      <c r="L2">
        <v>58</v>
      </c>
      <c r="M2">
        <f>100-L2</f>
        <v>42</v>
      </c>
      <c r="N2" t="s">
        <v>131</v>
      </c>
      <c r="O2" t="s">
        <v>28</v>
      </c>
      <c r="P2" t="s">
        <v>28</v>
      </c>
      <c r="Q2" t="s">
        <v>30</v>
      </c>
      <c r="R2">
        <v>18.105589999999999</v>
      </c>
      <c r="S2">
        <v>-65.575199999999995</v>
      </c>
      <c r="T2" s="1">
        <v>0.3266</v>
      </c>
      <c r="U2">
        <v>91</v>
      </c>
      <c r="V2">
        <v>3.5995442</v>
      </c>
      <c r="W2">
        <v>0.88431470000000001</v>
      </c>
      <c r="X2">
        <v>-0.30098274000000003</v>
      </c>
      <c r="Y2" t="s">
        <v>31</v>
      </c>
      <c r="Z2" t="s">
        <v>32</v>
      </c>
      <c r="AA2">
        <v>28.25</v>
      </c>
      <c r="AB2">
        <v>9.65</v>
      </c>
      <c r="AC2">
        <v>7.8550000000000004</v>
      </c>
      <c r="AD2">
        <v>49.65</v>
      </c>
      <c r="AE2">
        <v>8</v>
      </c>
      <c r="AF2">
        <v>29</v>
      </c>
      <c r="AG2">
        <v>0</v>
      </c>
      <c r="AH2">
        <v>4</v>
      </c>
      <c r="AI2">
        <v>1.3</v>
      </c>
      <c r="AJ2">
        <v>20</v>
      </c>
      <c r="AK2">
        <v>0.8</v>
      </c>
      <c r="AN2" t="s">
        <v>33</v>
      </c>
      <c r="AO2" t="s">
        <v>34</v>
      </c>
      <c r="AP2" t="s">
        <v>35</v>
      </c>
      <c r="AQ2" s="1">
        <v>0</v>
      </c>
      <c r="AR2" s="1">
        <v>0.77600000000000002</v>
      </c>
      <c r="AS2" s="1">
        <v>0.224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1.4999999999999999E-2</v>
      </c>
      <c r="AZ2" s="1">
        <v>0.19</v>
      </c>
      <c r="BA2" s="1">
        <v>0.29199999999999998</v>
      </c>
      <c r="BB2" s="1">
        <v>0.16300000000000001</v>
      </c>
      <c r="BC2" s="1">
        <v>0.11600000000000001</v>
      </c>
      <c r="BD2" s="1">
        <v>8.7999999999999995E-2</v>
      </c>
      <c r="BE2" s="1">
        <v>5.8000000000000003E-2</v>
      </c>
      <c r="BF2" s="1">
        <v>3.9E-2</v>
      </c>
      <c r="BG2" s="1">
        <v>2.5999999999999999E-2</v>
      </c>
      <c r="BH2" s="1">
        <v>1.2E-2</v>
      </c>
      <c r="BI2" s="1">
        <v>0</v>
      </c>
      <c r="BR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</row>
    <row r="3" spans="1:109" ht="27.6" thickBot="1" x14ac:dyDescent="0.35">
      <c r="A3" t="s">
        <v>36</v>
      </c>
      <c r="B3">
        <v>-0.39394148366401699</v>
      </c>
      <c r="C3">
        <v>-0.109077648201448</v>
      </c>
      <c r="D3">
        <v>-0.39394148366401699</v>
      </c>
      <c r="E3">
        <v>-0.109077648201448</v>
      </c>
      <c r="F3">
        <v>1</v>
      </c>
      <c r="G3" t="s">
        <v>29</v>
      </c>
      <c r="H3">
        <v>1</v>
      </c>
      <c r="I3" s="3" t="s">
        <v>190</v>
      </c>
      <c r="J3">
        <v>0</v>
      </c>
      <c r="K3">
        <f t="shared" ref="K3:K30" si="0">100-J3</f>
        <v>100</v>
      </c>
      <c r="L3">
        <v>0</v>
      </c>
      <c r="M3">
        <f t="shared" ref="M3:M30" si="1">100-L3</f>
        <v>100</v>
      </c>
      <c r="N3">
        <v>75</v>
      </c>
      <c r="O3" t="s">
        <v>36</v>
      </c>
      <c r="P3" t="s">
        <v>36</v>
      </c>
      <c r="Q3" t="s">
        <v>37</v>
      </c>
      <c r="R3">
        <v>18.103940000000001</v>
      </c>
      <c r="S3">
        <v>-65.5749</v>
      </c>
      <c r="T3" s="1">
        <v>0.32779999999999998</v>
      </c>
      <c r="U3">
        <v>85</v>
      </c>
      <c r="V3">
        <v>3.6508945000000002</v>
      </c>
      <c r="W3">
        <v>0.89388650000000003</v>
      </c>
      <c r="X3">
        <v>-0.31566534000000002</v>
      </c>
      <c r="Y3" t="s">
        <v>38</v>
      </c>
      <c r="Z3" t="s">
        <v>39</v>
      </c>
      <c r="AA3">
        <v>21.2</v>
      </c>
      <c r="AB3">
        <v>9.25</v>
      </c>
      <c r="AC3">
        <v>8.0050000000000008</v>
      </c>
      <c r="AD3">
        <v>48.05</v>
      </c>
      <c r="AE3">
        <v>8</v>
      </c>
      <c r="AF3">
        <v>28.5</v>
      </c>
      <c r="AG3">
        <v>0</v>
      </c>
      <c r="AH3">
        <v>2</v>
      </c>
      <c r="AI3">
        <v>0.6</v>
      </c>
      <c r="AJ3">
        <v>3</v>
      </c>
      <c r="AK3">
        <v>1</v>
      </c>
      <c r="AN3" t="s">
        <v>40</v>
      </c>
      <c r="AO3" t="s">
        <v>41</v>
      </c>
      <c r="AP3" t="s">
        <v>42</v>
      </c>
      <c r="AQ3" s="1">
        <v>0</v>
      </c>
      <c r="AR3" s="1">
        <v>0.5</v>
      </c>
      <c r="AS3" s="1">
        <v>0.5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1.7000000000000001E-2</v>
      </c>
      <c r="BA3" s="1">
        <v>8.7999999999999995E-2</v>
      </c>
      <c r="BB3" s="1">
        <v>0.185</v>
      </c>
      <c r="BC3" s="1">
        <v>0.21</v>
      </c>
      <c r="BD3" s="1">
        <v>0.18099999999999999</v>
      </c>
      <c r="BE3" s="1">
        <v>0.127</v>
      </c>
      <c r="BF3" s="1">
        <v>9.2999999999999999E-2</v>
      </c>
      <c r="BG3" s="1">
        <v>6.4000000000000001E-2</v>
      </c>
      <c r="BH3" s="1">
        <v>3.2000000000000001E-2</v>
      </c>
      <c r="BI3" s="1">
        <v>4.0000000000000001E-3</v>
      </c>
      <c r="BR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</row>
    <row r="4" spans="1:109" ht="27.6" thickBot="1" x14ac:dyDescent="0.35">
      <c r="A4" t="s">
        <v>43</v>
      </c>
      <c r="B4">
        <v>-0.41152620557790098</v>
      </c>
      <c r="C4">
        <v>-6.2686992561255706E-2</v>
      </c>
      <c r="D4">
        <v>-0.41152620557790098</v>
      </c>
      <c r="E4">
        <v>-6.2686992561255706E-2</v>
      </c>
      <c r="F4">
        <v>1</v>
      </c>
      <c r="G4" t="s">
        <v>29</v>
      </c>
      <c r="H4">
        <v>1</v>
      </c>
      <c r="I4" s="3" t="s">
        <v>190</v>
      </c>
      <c r="J4">
        <v>0</v>
      </c>
      <c r="K4">
        <f t="shared" si="0"/>
        <v>100</v>
      </c>
      <c r="L4">
        <v>0</v>
      </c>
      <c r="M4">
        <f t="shared" si="1"/>
        <v>100</v>
      </c>
      <c r="N4">
        <v>70</v>
      </c>
      <c r="O4" t="s">
        <v>43</v>
      </c>
      <c r="P4" t="s">
        <v>43</v>
      </c>
      <c r="Q4" t="s">
        <v>44</v>
      </c>
      <c r="R4">
        <v>18.10248</v>
      </c>
      <c r="S4">
        <v>-65.573899999999995</v>
      </c>
      <c r="T4" s="1">
        <v>0.29020000000000001</v>
      </c>
      <c r="U4">
        <v>108</v>
      </c>
      <c r="V4">
        <v>3.8441505999999999</v>
      </c>
      <c r="W4">
        <v>0.89480289999999996</v>
      </c>
      <c r="X4">
        <v>-0.29047940999999999</v>
      </c>
      <c r="Y4" t="s">
        <v>45</v>
      </c>
      <c r="Z4" t="s">
        <v>46</v>
      </c>
      <c r="AA4">
        <v>21.3</v>
      </c>
      <c r="AB4">
        <v>9</v>
      </c>
      <c r="AC4">
        <v>7.95</v>
      </c>
      <c r="AD4">
        <v>52.2</v>
      </c>
      <c r="AE4">
        <v>8</v>
      </c>
      <c r="AF4">
        <v>30</v>
      </c>
      <c r="AG4">
        <v>0</v>
      </c>
      <c r="AH4">
        <v>1</v>
      </c>
      <c r="AI4">
        <v>0.3</v>
      </c>
      <c r="AJ4">
        <v>2</v>
      </c>
      <c r="AK4">
        <v>0.2</v>
      </c>
      <c r="AN4" t="s">
        <v>40</v>
      </c>
      <c r="AO4" t="s">
        <v>41</v>
      </c>
      <c r="AP4" t="s">
        <v>42</v>
      </c>
      <c r="AQ4" s="1">
        <v>0</v>
      </c>
      <c r="AR4" s="1">
        <v>0.39100000000000001</v>
      </c>
      <c r="AS4" s="1">
        <v>0.60899999999999999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1.2999999999999999E-2</v>
      </c>
      <c r="BA4" s="1">
        <v>6.3E-2</v>
      </c>
      <c r="BB4" s="1">
        <v>0.123</v>
      </c>
      <c r="BC4" s="1">
        <v>0.192</v>
      </c>
      <c r="BD4" s="1">
        <v>0.20899999999999999</v>
      </c>
      <c r="BE4" s="1">
        <v>0.152</v>
      </c>
      <c r="BF4" s="1">
        <v>0.11600000000000001</v>
      </c>
      <c r="BG4" s="1">
        <v>8.3000000000000004E-2</v>
      </c>
      <c r="BH4" s="1">
        <v>4.1000000000000002E-2</v>
      </c>
      <c r="BI4" s="1">
        <v>8.0000000000000002E-3</v>
      </c>
      <c r="BR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</row>
    <row r="5" spans="1:109" ht="15" thickBot="1" x14ac:dyDescent="0.35">
      <c r="A5" t="s">
        <v>47</v>
      </c>
      <c r="B5">
        <v>0.47068215139534603</v>
      </c>
      <c r="C5">
        <v>-1.2056225918658601E-3</v>
      </c>
      <c r="D5">
        <v>0.47068215139534603</v>
      </c>
      <c r="E5">
        <v>-1.2056225918658601E-3</v>
      </c>
      <c r="F5">
        <v>1</v>
      </c>
      <c r="G5" t="s">
        <v>48</v>
      </c>
      <c r="H5">
        <v>15</v>
      </c>
      <c r="I5" s="3" t="s">
        <v>191</v>
      </c>
      <c r="J5">
        <v>5</v>
      </c>
      <c r="K5">
        <f t="shared" si="0"/>
        <v>95</v>
      </c>
      <c r="L5">
        <v>95</v>
      </c>
      <c r="M5">
        <f t="shared" si="1"/>
        <v>5</v>
      </c>
      <c r="N5" t="s">
        <v>131</v>
      </c>
      <c r="O5" t="s">
        <v>49</v>
      </c>
      <c r="P5" t="s">
        <v>47</v>
      </c>
      <c r="Q5" t="s">
        <v>50</v>
      </c>
      <c r="R5">
        <v>18.116489999999999</v>
      </c>
      <c r="S5">
        <v>-65.561599999999999</v>
      </c>
      <c r="T5" s="1">
        <v>0.1173</v>
      </c>
      <c r="U5">
        <v>70</v>
      </c>
      <c r="V5">
        <v>1.8949353</v>
      </c>
      <c r="W5">
        <v>-0.84547539999999999</v>
      </c>
      <c r="X5">
        <v>-0.48474264</v>
      </c>
      <c r="Y5" t="s">
        <v>31</v>
      </c>
      <c r="Z5" t="s">
        <v>51</v>
      </c>
      <c r="AA5">
        <v>21.75</v>
      </c>
      <c r="AB5">
        <v>8.6999999999999993</v>
      </c>
      <c r="AC5">
        <v>7.8949999999999996</v>
      </c>
      <c r="AD5">
        <v>46.05</v>
      </c>
      <c r="AE5">
        <v>4</v>
      </c>
      <c r="AF5">
        <v>27.5</v>
      </c>
      <c r="AG5">
        <v>5</v>
      </c>
      <c r="AH5">
        <v>17</v>
      </c>
      <c r="AI5">
        <v>2</v>
      </c>
      <c r="AJ5">
        <v>17</v>
      </c>
      <c r="AK5">
        <v>0.3</v>
      </c>
      <c r="AN5" t="s">
        <v>52</v>
      </c>
      <c r="AO5" t="s">
        <v>53</v>
      </c>
      <c r="AP5" t="s">
        <v>54</v>
      </c>
      <c r="AQ5" s="1">
        <v>0</v>
      </c>
      <c r="AR5" s="1">
        <v>0.73599999999999999</v>
      </c>
      <c r="AS5" s="1">
        <v>0.26400000000000001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1.7000000000000001E-2</v>
      </c>
      <c r="AZ5" s="1">
        <v>0.17</v>
      </c>
      <c r="BA5" s="1">
        <v>0.251</v>
      </c>
      <c r="BB5" s="1">
        <v>0.17</v>
      </c>
      <c r="BC5" s="1">
        <v>0.128</v>
      </c>
      <c r="BD5" s="1">
        <v>9.1999999999999998E-2</v>
      </c>
      <c r="BE5" s="1">
        <v>6.6000000000000003E-2</v>
      </c>
      <c r="BF5" s="1">
        <v>5.3999999999999999E-2</v>
      </c>
      <c r="BG5" s="1">
        <v>3.5000000000000003E-2</v>
      </c>
      <c r="BH5" s="1">
        <v>1.6E-2</v>
      </c>
      <c r="BI5" s="1">
        <v>0</v>
      </c>
      <c r="BR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</row>
    <row r="6" spans="1:109" ht="27.6" thickBot="1" x14ac:dyDescent="0.35">
      <c r="A6" t="s">
        <v>55</v>
      </c>
      <c r="B6">
        <v>0.47792146113372203</v>
      </c>
      <c r="C6">
        <v>-3.6425910911453398E-2</v>
      </c>
      <c r="D6">
        <v>0.47792146113372203</v>
      </c>
      <c r="E6">
        <v>-3.6425910911453398E-2</v>
      </c>
      <c r="F6">
        <v>1</v>
      </c>
      <c r="G6" t="s">
        <v>48</v>
      </c>
      <c r="H6">
        <v>20</v>
      </c>
      <c r="I6" s="3" t="s">
        <v>192</v>
      </c>
      <c r="J6">
        <v>65</v>
      </c>
      <c r="K6">
        <f t="shared" si="0"/>
        <v>35</v>
      </c>
      <c r="L6">
        <v>80</v>
      </c>
      <c r="M6">
        <f t="shared" si="1"/>
        <v>20</v>
      </c>
      <c r="N6" t="s">
        <v>131</v>
      </c>
      <c r="O6" t="s">
        <v>56</v>
      </c>
      <c r="P6" t="s">
        <v>55</v>
      </c>
      <c r="Q6" t="s">
        <v>57</v>
      </c>
      <c r="R6">
        <v>18.115539999999999</v>
      </c>
      <c r="S6">
        <v>-65.562700000000007</v>
      </c>
      <c r="T6" s="1">
        <v>0.27579999999999999</v>
      </c>
      <c r="U6">
        <v>106</v>
      </c>
      <c r="V6">
        <v>2.9099750000000002</v>
      </c>
      <c r="W6">
        <v>-0.56715749999999998</v>
      </c>
      <c r="X6">
        <v>0.12580643</v>
      </c>
      <c r="Y6" t="s">
        <v>38</v>
      </c>
      <c r="Z6" t="s">
        <v>58</v>
      </c>
      <c r="AA6">
        <v>21.65</v>
      </c>
      <c r="AB6">
        <v>8.8000000000000007</v>
      </c>
      <c r="AC6">
        <v>7.7450000000000001</v>
      </c>
      <c r="AD6">
        <v>45.95</v>
      </c>
      <c r="AE6">
        <v>2</v>
      </c>
      <c r="AF6">
        <v>27.5</v>
      </c>
      <c r="AG6">
        <v>65</v>
      </c>
      <c r="AH6">
        <v>18</v>
      </c>
      <c r="AI6">
        <v>3.4</v>
      </c>
      <c r="AJ6">
        <v>27</v>
      </c>
      <c r="AK6">
        <v>9</v>
      </c>
      <c r="AN6" t="s">
        <v>40</v>
      </c>
      <c r="AO6" t="s">
        <v>34</v>
      </c>
      <c r="AP6" t="s">
        <v>35</v>
      </c>
      <c r="AQ6" s="1">
        <v>0</v>
      </c>
      <c r="AR6" s="1">
        <v>0.73599999999999999</v>
      </c>
      <c r="AS6" s="1">
        <v>0.26400000000000001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2E-3</v>
      </c>
      <c r="AZ6" s="1">
        <v>0.06</v>
      </c>
      <c r="BA6" s="1">
        <v>0.25900000000000001</v>
      </c>
      <c r="BB6" s="1">
        <v>0.248</v>
      </c>
      <c r="BC6" s="1">
        <v>0.16600000000000001</v>
      </c>
      <c r="BD6" s="1">
        <v>0.109</v>
      </c>
      <c r="BE6" s="1">
        <v>7.1999999999999995E-2</v>
      </c>
      <c r="BF6" s="1">
        <v>4.8000000000000001E-2</v>
      </c>
      <c r="BG6" s="1">
        <v>2.7E-2</v>
      </c>
      <c r="BH6" s="1">
        <v>8.0000000000000002E-3</v>
      </c>
      <c r="BI6" s="1">
        <v>0</v>
      </c>
      <c r="BR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</row>
    <row r="7" spans="1:109" ht="15" thickBot="1" x14ac:dyDescent="0.35">
      <c r="A7" t="s">
        <v>59</v>
      </c>
      <c r="B7">
        <v>0.47449761985139399</v>
      </c>
      <c r="C7">
        <v>-2.2649052269550399E-2</v>
      </c>
      <c r="D7">
        <v>0.47449761985139399</v>
      </c>
      <c r="E7">
        <v>-2.2649052269550399E-2</v>
      </c>
      <c r="F7">
        <v>1</v>
      </c>
      <c r="G7" t="s">
        <v>48</v>
      </c>
      <c r="H7">
        <v>28</v>
      </c>
      <c r="I7" s="3" t="s">
        <v>193</v>
      </c>
      <c r="J7">
        <v>90</v>
      </c>
      <c r="K7">
        <f t="shared" si="0"/>
        <v>10</v>
      </c>
      <c r="L7">
        <v>85</v>
      </c>
      <c r="M7">
        <f t="shared" si="1"/>
        <v>15</v>
      </c>
      <c r="N7" t="s">
        <v>131</v>
      </c>
      <c r="O7" t="s">
        <v>60</v>
      </c>
      <c r="P7" t="s">
        <v>59</v>
      </c>
      <c r="Q7" t="s">
        <v>61</v>
      </c>
      <c r="R7">
        <v>18.11665</v>
      </c>
      <c r="S7">
        <v>-65.560299999999998</v>
      </c>
      <c r="T7" s="1">
        <v>0.2225</v>
      </c>
      <c r="U7">
        <v>111</v>
      </c>
      <c r="V7">
        <v>2.1941945</v>
      </c>
      <c r="W7">
        <v>-0.61968690000000004</v>
      </c>
      <c r="X7">
        <v>3.3155299999999999E-2</v>
      </c>
      <c r="Y7" t="s">
        <v>45</v>
      </c>
      <c r="Z7" t="s">
        <v>62</v>
      </c>
      <c r="AA7">
        <v>22.2</v>
      </c>
      <c r="AB7">
        <v>8.75</v>
      </c>
      <c r="AC7">
        <v>7.75</v>
      </c>
      <c r="AD7">
        <v>47.45</v>
      </c>
      <c r="AE7">
        <v>1</v>
      </c>
      <c r="AF7">
        <v>28</v>
      </c>
      <c r="AG7">
        <v>90</v>
      </c>
      <c r="AH7">
        <v>27</v>
      </c>
      <c r="AI7">
        <v>7.3</v>
      </c>
      <c r="AJ7">
        <v>41</v>
      </c>
      <c r="AK7">
        <v>11</v>
      </c>
      <c r="AN7" t="s">
        <v>40</v>
      </c>
      <c r="AO7" t="s">
        <v>34</v>
      </c>
      <c r="AP7" t="s">
        <v>35</v>
      </c>
      <c r="AQ7" s="1">
        <v>0</v>
      </c>
      <c r="AR7" s="1">
        <v>0.88100000000000001</v>
      </c>
      <c r="AS7" s="1">
        <v>0.11899999999999999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2.1000000000000001E-2</v>
      </c>
      <c r="AZ7" s="1">
        <v>0.26800000000000002</v>
      </c>
      <c r="BA7" s="1">
        <v>0.35099999999999998</v>
      </c>
      <c r="BB7" s="1">
        <v>0.14699999999999999</v>
      </c>
      <c r="BC7" s="1">
        <v>9.2999999999999999E-2</v>
      </c>
      <c r="BD7" s="1">
        <v>5.3999999999999999E-2</v>
      </c>
      <c r="BE7" s="1">
        <v>3.3000000000000002E-2</v>
      </c>
      <c r="BF7" s="1">
        <v>2.1000000000000001E-2</v>
      </c>
      <c r="BG7" s="1">
        <v>1.2E-2</v>
      </c>
      <c r="BH7" s="1">
        <v>0</v>
      </c>
      <c r="BI7" s="1">
        <v>0</v>
      </c>
      <c r="BR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</row>
    <row r="8" spans="1:109" ht="15" thickBot="1" x14ac:dyDescent="0.35">
      <c r="A8" t="s">
        <v>63</v>
      </c>
      <c r="B8">
        <v>-0.38163055275261398</v>
      </c>
      <c r="C8">
        <v>-0.17301291594124099</v>
      </c>
      <c r="D8">
        <v>-0.38163055275261398</v>
      </c>
      <c r="E8">
        <v>-0.17301291594124099</v>
      </c>
      <c r="F8">
        <v>1</v>
      </c>
      <c r="G8" t="s">
        <v>64</v>
      </c>
      <c r="H8">
        <v>13</v>
      </c>
      <c r="I8" s="3" t="s">
        <v>191</v>
      </c>
      <c r="J8">
        <v>3</v>
      </c>
      <c r="K8">
        <f t="shared" si="0"/>
        <v>97</v>
      </c>
      <c r="L8">
        <v>78</v>
      </c>
      <c r="M8">
        <f t="shared" si="1"/>
        <v>22</v>
      </c>
      <c r="N8" t="s">
        <v>131</v>
      </c>
      <c r="O8" t="s">
        <v>63</v>
      </c>
      <c r="P8" t="s">
        <v>63</v>
      </c>
      <c r="Q8" t="s">
        <v>65</v>
      </c>
      <c r="R8">
        <v>18.090920000000001</v>
      </c>
      <c r="S8">
        <v>-65.513400000000004</v>
      </c>
      <c r="T8" s="1">
        <v>6.2399999999999997E-2</v>
      </c>
      <c r="U8">
        <v>65</v>
      </c>
      <c r="V8">
        <v>3.4863276999999999</v>
      </c>
      <c r="W8">
        <v>0.86835549999999995</v>
      </c>
      <c r="X8">
        <v>-0.29635085</v>
      </c>
      <c r="Y8" t="s">
        <v>31</v>
      </c>
      <c r="Z8" t="s">
        <v>66</v>
      </c>
      <c r="AA8">
        <v>21.35</v>
      </c>
      <c r="AB8">
        <v>9.1999999999999993</v>
      </c>
      <c r="AC8">
        <v>7.875</v>
      </c>
      <c r="AD8">
        <v>44.25</v>
      </c>
      <c r="AE8">
        <v>8</v>
      </c>
      <c r="AF8">
        <v>25</v>
      </c>
      <c r="AG8">
        <v>3</v>
      </c>
      <c r="AH8">
        <v>8</v>
      </c>
      <c r="AI8">
        <v>1.5</v>
      </c>
      <c r="AJ8">
        <v>6.5</v>
      </c>
      <c r="AK8">
        <v>3</v>
      </c>
      <c r="AN8" t="s">
        <v>33</v>
      </c>
      <c r="AO8" t="s">
        <v>67</v>
      </c>
      <c r="AP8" t="s">
        <v>68</v>
      </c>
      <c r="AQ8" s="1">
        <v>8.4000000000000005E-2</v>
      </c>
      <c r="AR8" s="1">
        <v>0.82199999999999995</v>
      </c>
      <c r="AS8" s="1">
        <v>9.4E-2</v>
      </c>
      <c r="AT8" s="1">
        <v>0</v>
      </c>
      <c r="AU8" s="1">
        <v>0</v>
      </c>
      <c r="AV8" s="1">
        <v>0</v>
      </c>
      <c r="AW8" s="1">
        <v>3.0000000000000001E-3</v>
      </c>
      <c r="AX8" s="1">
        <v>0.08</v>
      </c>
      <c r="AY8" s="1">
        <v>0.35399999999999998</v>
      </c>
      <c r="AZ8" s="1">
        <v>0.185</v>
      </c>
      <c r="BA8" s="1">
        <v>0.09</v>
      </c>
      <c r="BB8" s="1">
        <v>9.2999999999999999E-2</v>
      </c>
      <c r="BC8" s="1">
        <v>0.1</v>
      </c>
      <c r="BD8" s="1">
        <v>5.8999999999999997E-2</v>
      </c>
      <c r="BE8" s="1">
        <v>2.4E-2</v>
      </c>
      <c r="BF8" s="1">
        <v>0.01</v>
      </c>
      <c r="BG8" s="1">
        <v>2E-3</v>
      </c>
      <c r="BH8" s="1">
        <v>0</v>
      </c>
      <c r="BI8" s="1">
        <v>0</v>
      </c>
      <c r="BR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</row>
    <row r="9" spans="1:109" ht="15" thickBot="1" x14ac:dyDescent="0.35">
      <c r="A9" t="s">
        <v>69</v>
      </c>
      <c r="B9">
        <v>-0.36556568866195099</v>
      </c>
      <c r="C9">
        <v>-0.19062534343930801</v>
      </c>
      <c r="D9">
        <v>-0.36556568866195099</v>
      </c>
      <c r="E9">
        <v>-0.19062534343930801</v>
      </c>
      <c r="F9">
        <v>1</v>
      </c>
      <c r="G9" t="s">
        <v>64</v>
      </c>
      <c r="H9">
        <v>10</v>
      </c>
      <c r="I9" s="3" t="s">
        <v>191</v>
      </c>
      <c r="J9">
        <v>0</v>
      </c>
      <c r="K9">
        <f t="shared" si="0"/>
        <v>100</v>
      </c>
      <c r="L9">
        <v>85</v>
      </c>
      <c r="M9">
        <f t="shared" si="1"/>
        <v>15</v>
      </c>
      <c r="N9" t="s">
        <v>131</v>
      </c>
      <c r="O9" t="s">
        <v>69</v>
      </c>
      <c r="P9" t="s">
        <v>69</v>
      </c>
      <c r="Q9" t="s">
        <v>70</v>
      </c>
      <c r="R9">
        <v>18.086569999999998</v>
      </c>
      <c r="S9">
        <v>-65.519800000000004</v>
      </c>
      <c r="T9" s="1">
        <v>0.21779999999999999</v>
      </c>
      <c r="U9">
        <v>84</v>
      </c>
      <c r="V9">
        <v>3.5741215</v>
      </c>
      <c r="W9">
        <v>0.90751839999999995</v>
      </c>
      <c r="X9">
        <v>-0.32402017999999999</v>
      </c>
      <c r="Y9" t="s">
        <v>38</v>
      </c>
      <c r="Z9" t="s">
        <v>71</v>
      </c>
      <c r="AA9">
        <v>21.2</v>
      </c>
      <c r="AB9">
        <v>9.35</v>
      </c>
      <c r="AC9">
        <v>7.99</v>
      </c>
      <c r="AD9">
        <v>45.1</v>
      </c>
      <c r="AE9">
        <v>8</v>
      </c>
      <c r="AF9">
        <v>26</v>
      </c>
      <c r="AG9">
        <v>0</v>
      </c>
      <c r="AH9">
        <v>40</v>
      </c>
      <c r="AI9">
        <v>4.2</v>
      </c>
      <c r="AJ9">
        <v>57.6</v>
      </c>
      <c r="AK9">
        <v>5</v>
      </c>
      <c r="AN9" t="s">
        <v>52</v>
      </c>
      <c r="AO9" t="s">
        <v>34</v>
      </c>
      <c r="AP9" t="s">
        <v>35</v>
      </c>
      <c r="AQ9" s="1">
        <v>0</v>
      </c>
      <c r="AR9" s="1">
        <v>0.746</v>
      </c>
      <c r="AS9" s="1">
        <v>0.254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1.4E-2</v>
      </c>
      <c r="AZ9" s="1">
        <v>0.17499999999999999</v>
      </c>
      <c r="BA9" s="1">
        <v>0.27600000000000002</v>
      </c>
      <c r="BB9" s="1">
        <v>0.151</v>
      </c>
      <c r="BC9" s="1">
        <v>0.129</v>
      </c>
      <c r="BD9" s="1">
        <v>0.1</v>
      </c>
      <c r="BE9" s="1">
        <v>6.4000000000000001E-2</v>
      </c>
      <c r="BF9" s="1">
        <v>4.2999999999999997E-2</v>
      </c>
      <c r="BG9" s="1">
        <v>0.03</v>
      </c>
      <c r="BH9" s="1">
        <v>1.7000000000000001E-2</v>
      </c>
      <c r="BI9" s="1">
        <v>0</v>
      </c>
      <c r="BR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</row>
    <row r="10" spans="1:109" ht="27.6" thickBot="1" x14ac:dyDescent="0.35">
      <c r="A10" t="s">
        <v>72</v>
      </c>
      <c r="B10">
        <v>0.390195764258147</v>
      </c>
      <c r="C10">
        <v>-9.3008605495039504E-3</v>
      </c>
      <c r="D10">
        <v>0.390195764258147</v>
      </c>
      <c r="E10">
        <v>-9.3008605495039504E-3</v>
      </c>
      <c r="F10">
        <v>1</v>
      </c>
      <c r="G10" t="s">
        <v>64</v>
      </c>
      <c r="H10">
        <v>23</v>
      </c>
      <c r="I10" s="3" t="s">
        <v>192</v>
      </c>
      <c r="J10">
        <v>80</v>
      </c>
      <c r="K10">
        <f t="shared" si="0"/>
        <v>20</v>
      </c>
      <c r="L10">
        <v>100</v>
      </c>
      <c r="M10">
        <f t="shared" si="1"/>
        <v>0</v>
      </c>
      <c r="N10" t="s">
        <v>131</v>
      </c>
      <c r="O10" t="s">
        <v>72</v>
      </c>
      <c r="P10" t="s">
        <v>72</v>
      </c>
      <c r="Q10" t="s">
        <v>73</v>
      </c>
      <c r="R10">
        <v>18.090250000000001</v>
      </c>
      <c r="S10">
        <v>-65.513000000000005</v>
      </c>
      <c r="T10" s="1">
        <v>1.04E-2</v>
      </c>
      <c r="U10">
        <v>82</v>
      </c>
      <c r="V10">
        <v>3.6378886000000001</v>
      </c>
      <c r="W10">
        <v>0.88051349999999995</v>
      </c>
      <c r="X10">
        <v>-0.29088655000000002</v>
      </c>
      <c r="Y10" t="s">
        <v>45</v>
      </c>
      <c r="Z10" t="s">
        <v>74</v>
      </c>
      <c r="AA10">
        <v>21.75</v>
      </c>
      <c r="AB10">
        <v>9.35</v>
      </c>
      <c r="AC10">
        <v>8.19</v>
      </c>
      <c r="AD10">
        <v>44.5</v>
      </c>
      <c r="AE10">
        <v>1</v>
      </c>
      <c r="AF10">
        <v>25.5</v>
      </c>
      <c r="AG10">
        <v>80</v>
      </c>
      <c r="AH10">
        <v>2</v>
      </c>
      <c r="AI10">
        <v>2.1</v>
      </c>
      <c r="AJ10">
        <v>0</v>
      </c>
      <c r="AK10">
        <v>2</v>
      </c>
      <c r="AN10" t="s">
        <v>75</v>
      </c>
      <c r="AO10" t="s">
        <v>76</v>
      </c>
      <c r="AP10" t="s">
        <v>77</v>
      </c>
      <c r="AQ10" s="1">
        <v>0.53800000000000003</v>
      </c>
      <c r="AR10" s="1">
        <v>0.45800000000000002</v>
      </c>
      <c r="AS10" s="1">
        <v>4.0000000000000001E-3</v>
      </c>
      <c r="AT10" s="1">
        <v>0</v>
      </c>
      <c r="AU10" s="1">
        <v>0</v>
      </c>
      <c r="AV10" s="1">
        <v>0</v>
      </c>
      <c r="AW10" s="1">
        <v>8.1000000000000003E-2</v>
      </c>
      <c r="AX10" s="1">
        <v>0.45700000000000002</v>
      </c>
      <c r="AY10" s="1">
        <v>0.38400000000000001</v>
      </c>
      <c r="AZ10" s="1">
        <v>4.5999999999999999E-2</v>
      </c>
      <c r="BA10" s="1">
        <v>1.0999999999999999E-2</v>
      </c>
      <c r="BB10" s="1">
        <v>0.01</v>
      </c>
      <c r="BC10" s="1">
        <v>6.0000000000000001E-3</v>
      </c>
      <c r="BD10" s="1">
        <v>3.0000000000000001E-3</v>
      </c>
      <c r="BE10" s="1">
        <v>1E-3</v>
      </c>
      <c r="BF10" s="1">
        <v>0</v>
      </c>
      <c r="BG10" s="1">
        <v>0</v>
      </c>
      <c r="BH10" s="1">
        <v>0</v>
      </c>
      <c r="BI10" s="1">
        <v>0</v>
      </c>
      <c r="BR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</row>
    <row r="11" spans="1:109" ht="27.6" thickBot="1" x14ac:dyDescent="0.35">
      <c r="A11" t="s">
        <v>78</v>
      </c>
      <c r="B11">
        <v>-0.25812847312766102</v>
      </c>
      <c r="C11">
        <v>0.56766204648359797</v>
      </c>
      <c r="D11">
        <v>-0.25812847312766102</v>
      </c>
      <c r="E11">
        <v>0.56766204648359797</v>
      </c>
      <c r="F11">
        <v>2</v>
      </c>
      <c r="G11" t="s">
        <v>79</v>
      </c>
      <c r="H11">
        <v>21</v>
      </c>
      <c r="I11" s="3" t="s">
        <v>192</v>
      </c>
      <c r="J11">
        <v>70</v>
      </c>
      <c r="K11">
        <f t="shared" si="0"/>
        <v>30</v>
      </c>
      <c r="L11">
        <v>90</v>
      </c>
      <c r="M11">
        <f t="shared" si="1"/>
        <v>10</v>
      </c>
      <c r="N11" t="s">
        <v>131</v>
      </c>
      <c r="O11" t="s">
        <v>78</v>
      </c>
      <c r="P11" t="s">
        <v>78</v>
      </c>
      <c r="Q11" t="s">
        <v>80</v>
      </c>
      <c r="R11">
        <v>18.094940000000001</v>
      </c>
      <c r="S11">
        <v>-65.473100000000002</v>
      </c>
      <c r="T11" s="1">
        <v>2.3199999999999998E-2</v>
      </c>
      <c r="U11">
        <v>109</v>
      </c>
      <c r="V11">
        <v>3.8180806</v>
      </c>
      <c r="W11">
        <v>0.88762810000000003</v>
      </c>
      <c r="X11">
        <v>-0.26086647000000002</v>
      </c>
      <c r="Y11" t="s">
        <v>31</v>
      </c>
      <c r="Z11" t="s">
        <v>81</v>
      </c>
      <c r="AA11">
        <v>21.45</v>
      </c>
      <c r="AB11">
        <v>9.85</v>
      </c>
      <c r="AC11">
        <v>8.2249999999999996</v>
      </c>
      <c r="AD11">
        <v>46.1</v>
      </c>
      <c r="AE11">
        <v>1</v>
      </c>
      <c r="AF11">
        <v>27.5</v>
      </c>
      <c r="AG11">
        <v>70</v>
      </c>
      <c r="AH11">
        <v>7</v>
      </c>
      <c r="AI11">
        <v>3.8</v>
      </c>
      <c r="AJ11">
        <v>7</v>
      </c>
      <c r="AK11">
        <v>2</v>
      </c>
      <c r="AN11" t="s">
        <v>40</v>
      </c>
      <c r="AO11" t="s">
        <v>76</v>
      </c>
      <c r="AP11" t="s">
        <v>77</v>
      </c>
      <c r="AQ11" s="1">
        <v>0.51500000000000001</v>
      </c>
      <c r="AR11" s="1">
        <v>0.48499999999999999</v>
      </c>
      <c r="AS11" s="1">
        <v>0</v>
      </c>
      <c r="AT11" s="1">
        <v>0</v>
      </c>
      <c r="AU11" s="1">
        <v>0</v>
      </c>
      <c r="AV11" s="1">
        <v>8.7999999999999995E-2</v>
      </c>
      <c r="AW11" s="1">
        <v>0.21199999999999999</v>
      </c>
      <c r="AX11" s="1">
        <v>0.215</v>
      </c>
      <c r="AY11" s="1">
        <v>0.21199999999999999</v>
      </c>
      <c r="AZ11" s="1">
        <v>0.187</v>
      </c>
      <c r="BA11" s="1">
        <v>6.6000000000000003E-2</v>
      </c>
      <c r="BB11" s="1">
        <v>1.7999999999999999E-2</v>
      </c>
      <c r="BC11" s="1">
        <v>2E-3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R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</row>
    <row r="12" spans="1:109" ht="27.6" thickBot="1" x14ac:dyDescent="0.35">
      <c r="A12" t="s">
        <v>82</v>
      </c>
      <c r="B12">
        <v>-0.323032848830273</v>
      </c>
      <c r="C12">
        <v>-3.7490891545537398E-2</v>
      </c>
      <c r="D12">
        <v>-0.323032848830273</v>
      </c>
      <c r="E12">
        <v>-3.7490891545537398E-2</v>
      </c>
      <c r="F12">
        <v>2</v>
      </c>
      <c r="G12" t="s">
        <v>79</v>
      </c>
      <c r="H12">
        <v>22</v>
      </c>
      <c r="I12" s="3" t="s">
        <v>192</v>
      </c>
      <c r="J12">
        <v>75</v>
      </c>
      <c r="K12">
        <f t="shared" si="0"/>
        <v>25</v>
      </c>
      <c r="L12">
        <v>93</v>
      </c>
      <c r="M12">
        <f t="shared" si="1"/>
        <v>7</v>
      </c>
      <c r="N12" t="s">
        <v>131</v>
      </c>
      <c r="O12" t="s">
        <v>82</v>
      </c>
      <c r="P12" t="s">
        <v>82</v>
      </c>
      <c r="Q12" t="s">
        <v>83</v>
      </c>
      <c r="R12">
        <v>18.094069999999999</v>
      </c>
      <c r="S12">
        <v>-65.471100000000007</v>
      </c>
      <c r="T12" s="1">
        <v>2.3900000000000001E-2</v>
      </c>
      <c r="U12">
        <v>88</v>
      </c>
      <c r="V12">
        <v>3.5718450000000002</v>
      </c>
      <c r="W12">
        <v>0.89789569999999996</v>
      </c>
      <c r="X12">
        <v>-0.32044205999999997</v>
      </c>
      <c r="Y12" t="s">
        <v>38</v>
      </c>
      <c r="Z12" t="s">
        <v>84</v>
      </c>
      <c r="AA12">
        <v>21.25</v>
      </c>
      <c r="AB12">
        <v>9.9</v>
      </c>
      <c r="AC12">
        <v>8.27</v>
      </c>
      <c r="AD12">
        <v>46.05</v>
      </c>
      <c r="AE12">
        <v>1</v>
      </c>
      <c r="AF12">
        <v>27.5</v>
      </c>
      <c r="AG12">
        <v>75</v>
      </c>
      <c r="AH12">
        <v>3.4</v>
      </c>
      <c r="AI12">
        <v>2.2999999999999998</v>
      </c>
      <c r="AJ12">
        <v>1</v>
      </c>
      <c r="AK12">
        <v>6</v>
      </c>
      <c r="AN12" t="s">
        <v>40</v>
      </c>
      <c r="AO12" t="s">
        <v>76</v>
      </c>
      <c r="AP12" t="s">
        <v>77</v>
      </c>
      <c r="AQ12" s="1">
        <v>0.51400000000000001</v>
      </c>
      <c r="AR12" s="1">
        <v>0.48399999999999999</v>
      </c>
      <c r="AS12" s="1">
        <v>2E-3</v>
      </c>
      <c r="AT12" s="1">
        <v>0</v>
      </c>
      <c r="AU12" s="1">
        <v>0</v>
      </c>
      <c r="AV12" s="1">
        <v>8.5000000000000006E-2</v>
      </c>
      <c r="AW12" s="1">
        <v>0.16700000000000001</v>
      </c>
      <c r="AX12" s="1">
        <v>0.26200000000000001</v>
      </c>
      <c r="AY12" s="1">
        <v>0.28399999999999997</v>
      </c>
      <c r="AZ12" s="1">
        <v>9.8000000000000004E-2</v>
      </c>
      <c r="BA12" s="1">
        <v>0.05</v>
      </c>
      <c r="BB12" s="1">
        <v>4.2000000000000003E-2</v>
      </c>
      <c r="BC12" s="1">
        <v>0.01</v>
      </c>
      <c r="BD12" s="1">
        <v>2E-3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R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</row>
    <row r="13" spans="1:109" ht="27.6" thickBot="1" x14ac:dyDescent="0.35">
      <c r="A13" t="s">
        <v>85</v>
      </c>
      <c r="B13">
        <v>-0.37596524189993602</v>
      </c>
      <c r="C13">
        <v>-3.0085109920661799E-2</v>
      </c>
      <c r="D13">
        <v>-0.37596524189993602</v>
      </c>
      <c r="E13">
        <v>-3.0085109920661799E-2</v>
      </c>
      <c r="F13">
        <v>2</v>
      </c>
      <c r="G13" t="s">
        <v>79</v>
      </c>
      <c r="H13">
        <v>17</v>
      </c>
      <c r="I13" s="3" t="s">
        <v>192</v>
      </c>
      <c r="J13">
        <v>58</v>
      </c>
      <c r="K13">
        <f t="shared" si="0"/>
        <v>42</v>
      </c>
      <c r="L13">
        <v>85</v>
      </c>
      <c r="M13">
        <f t="shared" si="1"/>
        <v>15</v>
      </c>
      <c r="N13" t="s">
        <v>131</v>
      </c>
      <c r="O13" t="s">
        <v>85</v>
      </c>
      <c r="P13" t="s">
        <v>85</v>
      </c>
      <c r="Q13" t="s">
        <v>86</v>
      </c>
      <c r="R13">
        <v>18.092390000000002</v>
      </c>
      <c r="S13">
        <v>-65.468400000000003</v>
      </c>
      <c r="T13" s="1">
        <v>1.8599999999999998E-2</v>
      </c>
      <c r="U13">
        <v>93</v>
      </c>
      <c r="V13">
        <v>3.5780037999999998</v>
      </c>
      <c r="W13">
        <v>0.8889437</v>
      </c>
      <c r="X13">
        <v>-0.30808038999999998</v>
      </c>
      <c r="Y13" t="s">
        <v>45</v>
      </c>
      <c r="Z13" t="s">
        <v>87</v>
      </c>
      <c r="AA13">
        <v>21.085000000000001</v>
      </c>
      <c r="AB13">
        <v>9.9499999999999993</v>
      </c>
      <c r="AC13">
        <v>8.33</v>
      </c>
      <c r="AD13">
        <v>47.2</v>
      </c>
      <c r="AE13">
        <v>1</v>
      </c>
      <c r="AF13">
        <v>27.5</v>
      </c>
      <c r="AG13">
        <v>58</v>
      </c>
      <c r="AH13">
        <v>1.3</v>
      </c>
      <c r="AI13">
        <v>1.6</v>
      </c>
      <c r="AJ13">
        <v>0</v>
      </c>
      <c r="AK13">
        <v>1</v>
      </c>
      <c r="AN13" t="s">
        <v>88</v>
      </c>
      <c r="AO13" t="s">
        <v>89</v>
      </c>
      <c r="AP13" t="s">
        <v>90</v>
      </c>
      <c r="AQ13" s="1">
        <v>9.1999999999999998E-2</v>
      </c>
      <c r="AR13" s="1">
        <v>0.90800000000000003</v>
      </c>
      <c r="AS13" s="1">
        <v>0</v>
      </c>
      <c r="AT13" s="1">
        <v>0</v>
      </c>
      <c r="AU13" s="1">
        <v>0</v>
      </c>
      <c r="AV13" s="1">
        <v>0</v>
      </c>
      <c r="AW13" s="1">
        <v>2.5000000000000001E-2</v>
      </c>
      <c r="AX13" s="1">
        <v>6.7000000000000004E-2</v>
      </c>
      <c r="AY13" s="1">
        <v>0.19800000000000001</v>
      </c>
      <c r="AZ13" s="1">
        <v>0.504</v>
      </c>
      <c r="BA13" s="1">
        <v>0.188</v>
      </c>
      <c r="BB13" s="1">
        <v>1.6E-2</v>
      </c>
      <c r="BC13" s="1">
        <v>1E-3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R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</row>
    <row r="14" spans="1:109" ht="15" thickBot="1" x14ac:dyDescent="0.35">
      <c r="A14" t="s">
        <v>91</v>
      </c>
      <c r="B14">
        <v>0.390195764258147</v>
      </c>
      <c r="C14">
        <v>-9.3008605495038203E-3</v>
      </c>
      <c r="D14">
        <v>0.390195764258147</v>
      </c>
      <c r="E14">
        <v>-9.3008605495038203E-3</v>
      </c>
      <c r="F14">
        <v>2</v>
      </c>
      <c r="G14" t="s">
        <v>92</v>
      </c>
      <c r="H14">
        <v>9</v>
      </c>
      <c r="I14" s="3" t="s">
        <v>191</v>
      </c>
      <c r="J14">
        <v>60</v>
      </c>
      <c r="K14">
        <f t="shared" si="0"/>
        <v>40</v>
      </c>
      <c r="L14">
        <v>80</v>
      </c>
      <c r="M14">
        <f t="shared" si="1"/>
        <v>20</v>
      </c>
      <c r="N14" t="s">
        <v>131</v>
      </c>
      <c r="O14" t="s">
        <v>91</v>
      </c>
      <c r="P14" t="s">
        <v>91</v>
      </c>
      <c r="Q14" t="s">
        <v>93</v>
      </c>
      <c r="R14">
        <v>18.103840000000002</v>
      </c>
      <c r="S14">
        <v>-65.451599999999999</v>
      </c>
      <c r="T14" s="1">
        <v>3.95E-2</v>
      </c>
      <c r="U14">
        <v>114</v>
      </c>
      <c r="V14">
        <v>2.3440439999999998</v>
      </c>
      <c r="W14">
        <v>-0.15084249999999999</v>
      </c>
      <c r="X14">
        <v>2.1674153600000001</v>
      </c>
      <c r="Y14" t="s">
        <v>31</v>
      </c>
      <c r="Z14" t="s">
        <v>94</v>
      </c>
      <c r="AA14">
        <v>22.7</v>
      </c>
      <c r="AB14">
        <v>5.25</v>
      </c>
      <c r="AC14">
        <v>7.915</v>
      </c>
      <c r="AD14">
        <v>26.71</v>
      </c>
      <c r="AE14">
        <v>8</v>
      </c>
      <c r="AF14">
        <v>26.7</v>
      </c>
      <c r="AG14">
        <v>60</v>
      </c>
      <c r="AH14">
        <v>27</v>
      </c>
      <c r="AI14">
        <v>4.2</v>
      </c>
      <c r="AJ14">
        <v>2</v>
      </c>
      <c r="AK14">
        <v>4</v>
      </c>
      <c r="AN14" t="s">
        <v>40</v>
      </c>
      <c r="AO14" t="s">
        <v>67</v>
      </c>
      <c r="AP14" t="s">
        <v>95</v>
      </c>
      <c r="AQ14" s="1">
        <v>5.2999999999999999E-2</v>
      </c>
      <c r="AR14" s="1">
        <v>0.84299999999999997</v>
      </c>
      <c r="AS14" s="1">
        <v>0.10299999999999999</v>
      </c>
      <c r="AT14" s="1">
        <v>0</v>
      </c>
      <c r="AU14" s="1">
        <v>0</v>
      </c>
      <c r="AV14" s="1">
        <v>0</v>
      </c>
      <c r="AW14" s="1">
        <v>2.9000000000000001E-2</v>
      </c>
      <c r="AX14" s="1">
        <v>2.4E-2</v>
      </c>
      <c r="AY14" s="1">
        <v>0.112</v>
      </c>
      <c r="AZ14" s="1">
        <v>0.218</v>
      </c>
      <c r="BA14" s="1">
        <v>0.21299999999999999</v>
      </c>
      <c r="BB14" s="1">
        <v>0.161</v>
      </c>
      <c r="BC14" s="1">
        <v>0.14000000000000001</v>
      </c>
      <c r="BD14" s="1">
        <v>7.3999999999999996E-2</v>
      </c>
      <c r="BE14" s="1">
        <v>2.5000000000000001E-2</v>
      </c>
      <c r="BF14" s="1">
        <v>5.0000000000000001E-3</v>
      </c>
      <c r="BG14" s="1">
        <v>0</v>
      </c>
      <c r="BH14" s="1">
        <v>0</v>
      </c>
      <c r="BI14" s="1">
        <v>0</v>
      </c>
      <c r="BR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</row>
    <row r="15" spans="1:109" ht="15" thickBot="1" x14ac:dyDescent="0.35">
      <c r="A15" t="s">
        <v>96</v>
      </c>
      <c r="B15">
        <v>0.47335746487099201</v>
      </c>
      <c r="C15">
        <v>-3.4917684299025503E-2</v>
      </c>
      <c r="D15">
        <v>0.47335746487099201</v>
      </c>
      <c r="E15">
        <v>-3.4917684299025503E-2</v>
      </c>
      <c r="F15">
        <v>2</v>
      </c>
      <c r="G15" t="s">
        <v>92</v>
      </c>
      <c r="H15">
        <v>9</v>
      </c>
      <c r="I15" s="3" t="s">
        <v>191</v>
      </c>
      <c r="J15">
        <v>0</v>
      </c>
      <c r="K15">
        <f t="shared" si="0"/>
        <v>100</v>
      </c>
      <c r="L15">
        <v>58</v>
      </c>
      <c r="M15">
        <f t="shared" si="1"/>
        <v>42</v>
      </c>
      <c r="N15" t="s">
        <v>131</v>
      </c>
      <c r="O15" t="s">
        <v>96</v>
      </c>
      <c r="P15" t="s">
        <v>96</v>
      </c>
      <c r="Q15" t="s">
        <v>97</v>
      </c>
      <c r="R15">
        <v>18.099589999999999</v>
      </c>
      <c r="S15">
        <v>-65.445599999999999</v>
      </c>
      <c r="T15" s="1">
        <v>0.13769999999999999</v>
      </c>
      <c r="U15">
        <v>49</v>
      </c>
      <c r="V15">
        <v>1.1476054</v>
      </c>
      <c r="W15">
        <v>-0.1242772</v>
      </c>
      <c r="X15">
        <v>2.0582060200000001</v>
      </c>
      <c r="Y15" t="s">
        <v>38</v>
      </c>
      <c r="Z15" t="s">
        <v>98</v>
      </c>
      <c r="AA15">
        <v>22.55</v>
      </c>
      <c r="AB15">
        <v>4.24</v>
      </c>
      <c r="AC15">
        <v>7.93</v>
      </c>
      <c r="AD15">
        <v>26.23</v>
      </c>
      <c r="AE15">
        <v>8</v>
      </c>
      <c r="AF15">
        <v>27.5</v>
      </c>
      <c r="AG15">
        <v>0</v>
      </c>
      <c r="AH15">
        <v>48</v>
      </c>
      <c r="AI15">
        <v>2.8</v>
      </c>
      <c r="AJ15">
        <v>25</v>
      </c>
      <c r="AK15">
        <v>10.199999999999999</v>
      </c>
      <c r="AN15" t="s">
        <v>52</v>
      </c>
      <c r="AO15" t="s">
        <v>53</v>
      </c>
      <c r="AP15" t="s">
        <v>99</v>
      </c>
      <c r="AQ15" s="1">
        <v>3.2000000000000001E-2</v>
      </c>
      <c r="AR15" s="1">
        <v>0.70899999999999996</v>
      </c>
      <c r="AS15" s="1">
        <v>0.26</v>
      </c>
      <c r="AT15" s="1">
        <v>0</v>
      </c>
      <c r="AU15" s="1">
        <v>0</v>
      </c>
      <c r="AV15" s="1">
        <v>0</v>
      </c>
      <c r="AW15" s="1">
        <v>3.0000000000000001E-3</v>
      </c>
      <c r="AX15" s="1">
        <v>2.8000000000000001E-2</v>
      </c>
      <c r="AY15" s="1">
        <v>7.1999999999999995E-2</v>
      </c>
      <c r="AZ15" s="1">
        <v>0.14799999999999999</v>
      </c>
      <c r="BA15" s="1">
        <v>0.16200000000000001</v>
      </c>
      <c r="BB15" s="1">
        <v>0.16700000000000001</v>
      </c>
      <c r="BC15" s="1">
        <v>0.161</v>
      </c>
      <c r="BD15" s="1">
        <v>0.111</v>
      </c>
      <c r="BE15" s="1">
        <v>0.06</v>
      </c>
      <c r="BF15" s="1">
        <v>4.3999999999999997E-2</v>
      </c>
      <c r="BG15" s="1">
        <v>3.1E-2</v>
      </c>
      <c r="BH15" s="1">
        <v>1.4999999999999999E-2</v>
      </c>
      <c r="BI15" s="1">
        <v>0</v>
      </c>
      <c r="BR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</row>
    <row r="16" spans="1:109" ht="27.6" thickBot="1" x14ac:dyDescent="0.35">
      <c r="A16" t="s">
        <v>100</v>
      </c>
      <c r="B16">
        <v>-0.40949492402974702</v>
      </c>
      <c r="C16">
        <v>-7.46594952598372E-2</v>
      </c>
      <c r="D16">
        <v>-0.40949492402974702</v>
      </c>
      <c r="E16">
        <v>-7.46594952598372E-2</v>
      </c>
      <c r="F16">
        <v>2</v>
      </c>
      <c r="G16" t="s">
        <v>101</v>
      </c>
      <c r="H16">
        <v>19</v>
      </c>
      <c r="I16" s="3" t="s">
        <v>192</v>
      </c>
      <c r="J16">
        <v>58</v>
      </c>
      <c r="K16">
        <f t="shared" si="0"/>
        <v>42</v>
      </c>
      <c r="L16" t="s">
        <v>131</v>
      </c>
      <c r="M16" t="s">
        <v>131</v>
      </c>
      <c r="N16" t="s">
        <v>131</v>
      </c>
      <c r="O16" t="s">
        <v>102</v>
      </c>
      <c r="P16" t="s">
        <v>100</v>
      </c>
      <c r="Q16" t="s">
        <v>103</v>
      </c>
      <c r="R16">
        <v>18.095780000000001</v>
      </c>
      <c r="S16">
        <v>-65.466999999999999</v>
      </c>
      <c r="T16" s="1">
        <v>1.7999999999999999E-2</v>
      </c>
      <c r="U16">
        <v>53</v>
      </c>
      <c r="V16">
        <v>1.9561203</v>
      </c>
      <c r="W16">
        <v>-0.91477549999999996</v>
      </c>
      <c r="X16">
        <v>-0.50988772000000004</v>
      </c>
      <c r="Y16" t="s">
        <v>31</v>
      </c>
      <c r="Z16" t="s">
        <v>104</v>
      </c>
      <c r="AA16">
        <v>21.45</v>
      </c>
      <c r="AB16">
        <v>9.85</v>
      </c>
      <c r="AC16">
        <v>8.1050000000000004</v>
      </c>
      <c r="AD16">
        <v>43.05</v>
      </c>
      <c r="AE16">
        <v>0.25</v>
      </c>
      <c r="AF16">
        <v>25.5</v>
      </c>
      <c r="AG16">
        <v>58</v>
      </c>
      <c r="AH16">
        <v>11</v>
      </c>
      <c r="AI16">
        <v>1.7</v>
      </c>
      <c r="AJ16">
        <v>13</v>
      </c>
      <c r="AK16">
        <v>4.7</v>
      </c>
      <c r="AN16" t="s">
        <v>40</v>
      </c>
      <c r="AO16" t="s">
        <v>89</v>
      </c>
      <c r="AP16" t="s">
        <v>90</v>
      </c>
      <c r="AQ16" s="1">
        <v>0.124</v>
      </c>
      <c r="AR16" s="1">
        <v>0.874</v>
      </c>
      <c r="AS16" s="1">
        <v>2E-3</v>
      </c>
      <c r="AT16" s="1">
        <v>0</v>
      </c>
      <c r="AU16" s="1">
        <v>0</v>
      </c>
      <c r="AV16" s="1">
        <v>0</v>
      </c>
      <c r="AW16" s="1">
        <v>2.7E-2</v>
      </c>
      <c r="AX16" s="1">
        <v>9.7000000000000003E-2</v>
      </c>
      <c r="AY16" s="1">
        <v>0.247</v>
      </c>
      <c r="AZ16" s="1">
        <v>0.27500000000000002</v>
      </c>
      <c r="BA16" s="1">
        <v>0.24</v>
      </c>
      <c r="BB16" s="1">
        <v>9.4E-2</v>
      </c>
      <c r="BC16" s="1">
        <v>1.9E-2</v>
      </c>
      <c r="BD16" s="1">
        <v>2E-3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R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</row>
    <row r="17" spans="1:109" ht="15" thickBot="1" x14ac:dyDescent="0.35">
      <c r="A17" t="s">
        <v>105</v>
      </c>
      <c r="B17">
        <v>0.47449761985139399</v>
      </c>
      <c r="C17">
        <v>-2.2649052269550302E-2</v>
      </c>
      <c r="D17">
        <v>0.47449761985139399</v>
      </c>
      <c r="E17">
        <v>-2.2649052269550302E-2</v>
      </c>
      <c r="F17">
        <v>2</v>
      </c>
      <c r="G17" t="s">
        <v>101</v>
      </c>
      <c r="H17">
        <v>10</v>
      </c>
      <c r="I17" s="3" t="s">
        <v>191</v>
      </c>
      <c r="J17">
        <v>0</v>
      </c>
      <c r="K17">
        <f t="shared" si="0"/>
        <v>100</v>
      </c>
      <c r="L17">
        <v>77</v>
      </c>
      <c r="M17">
        <f t="shared" si="1"/>
        <v>23</v>
      </c>
      <c r="N17" t="s">
        <v>131</v>
      </c>
      <c r="O17" t="s">
        <v>106</v>
      </c>
      <c r="P17" t="s">
        <v>105</v>
      </c>
      <c r="Q17" t="s">
        <v>107</v>
      </c>
      <c r="R17">
        <v>18.1021</v>
      </c>
      <c r="S17">
        <v>-65.457899999999995</v>
      </c>
      <c r="T17" s="1">
        <v>8.6800000000000002E-2</v>
      </c>
      <c r="U17">
        <v>63</v>
      </c>
      <c r="V17">
        <v>2.1229165999999999</v>
      </c>
      <c r="W17">
        <v>0.1443055</v>
      </c>
      <c r="X17">
        <v>0.48147182999999999</v>
      </c>
      <c r="Y17" t="s">
        <v>38</v>
      </c>
      <c r="Z17" t="s">
        <v>108</v>
      </c>
      <c r="AA17">
        <v>21.3</v>
      </c>
      <c r="AB17">
        <v>9.5</v>
      </c>
      <c r="AC17">
        <v>8.1649999999999991</v>
      </c>
      <c r="AD17">
        <v>44</v>
      </c>
      <c r="AE17">
        <v>1</v>
      </c>
      <c r="AF17">
        <v>25</v>
      </c>
      <c r="AG17">
        <v>0</v>
      </c>
      <c r="AH17">
        <v>12</v>
      </c>
      <c r="AI17">
        <v>4.0999999999999996</v>
      </c>
      <c r="AJ17">
        <v>8</v>
      </c>
      <c r="AK17">
        <v>0.5</v>
      </c>
      <c r="AN17" t="s">
        <v>40</v>
      </c>
      <c r="AO17" t="s">
        <v>53</v>
      </c>
      <c r="AP17" t="s">
        <v>54</v>
      </c>
      <c r="AQ17" s="1">
        <v>1E-3</v>
      </c>
      <c r="AR17" s="1">
        <v>0.77100000000000002</v>
      </c>
      <c r="AS17" s="1">
        <v>0.22900000000000001</v>
      </c>
      <c r="AT17" s="1">
        <v>0</v>
      </c>
      <c r="AU17" s="1">
        <v>0</v>
      </c>
      <c r="AV17" s="1">
        <v>0</v>
      </c>
      <c r="AW17" s="1">
        <v>0</v>
      </c>
      <c r="AX17" s="1">
        <v>1E-3</v>
      </c>
      <c r="AY17" s="1">
        <v>1.7999999999999999E-2</v>
      </c>
      <c r="AZ17" s="1">
        <v>0.14499999999999999</v>
      </c>
      <c r="BA17" s="1">
        <v>0.23400000000000001</v>
      </c>
      <c r="BB17" s="1">
        <v>0.20200000000000001</v>
      </c>
      <c r="BC17" s="1">
        <v>0.17199999999999999</v>
      </c>
      <c r="BD17" s="1">
        <v>0.124</v>
      </c>
      <c r="BE17" s="1">
        <v>6.2E-2</v>
      </c>
      <c r="BF17" s="1">
        <v>2.8000000000000001E-2</v>
      </c>
      <c r="BG17" s="1">
        <v>1.4999999999999999E-2</v>
      </c>
      <c r="BH17" s="1">
        <v>0</v>
      </c>
      <c r="BI17" s="1">
        <v>0</v>
      </c>
      <c r="BR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</row>
    <row r="18" spans="1:109" ht="27.6" thickBot="1" x14ac:dyDescent="0.35">
      <c r="A18" t="s">
        <v>109</v>
      </c>
      <c r="B18">
        <v>0.47792146113372203</v>
      </c>
      <c r="C18">
        <v>-3.6425910911453398E-2</v>
      </c>
      <c r="D18">
        <v>0.47792146113372203</v>
      </c>
      <c r="E18">
        <v>-3.6425910911453398E-2</v>
      </c>
      <c r="F18">
        <v>2</v>
      </c>
      <c r="G18" t="s">
        <v>101</v>
      </c>
      <c r="H18">
        <v>18</v>
      </c>
      <c r="I18" s="3" t="s">
        <v>192</v>
      </c>
      <c r="J18">
        <v>25</v>
      </c>
      <c r="K18">
        <f t="shared" si="0"/>
        <v>75</v>
      </c>
      <c r="L18">
        <v>90</v>
      </c>
      <c r="M18">
        <f t="shared" si="1"/>
        <v>10</v>
      </c>
      <c r="N18" t="s">
        <v>131</v>
      </c>
      <c r="O18" t="s">
        <v>110</v>
      </c>
      <c r="P18" t="s">
        <v>109</v>
      </c>
      <c r="Q18" t="s">
        <v>111</v>
      </c>
      <c r="R18">
        <v>18.104479999999999</v>
      </c>
      <c r="S18">
        <v>-65.455600000000004</v>
      </c>
      <c r="T18" s="1">
        <v>4.3200000000000002E-2</v>
      </c>
      <c r="U18">
        <v>31</v>
      </c>
      <c r="V18">
        <v>0.87855640000000002</v>
      </c>
      <c r="W18">
        <v>-0.8012494</v>
      </c>
      <c r="X18">
        <v>-0.53766957999999998</v>
      </c>
      <c r="Y18" t="s">
        <v>45</v>
      </c>
      <c r="Z18" t="s">
        <v>112</v>
      </c>
      <c r="AA18">
        <v>21.15</v>
      </c>
      <c r="AB18">
        <v>9.65</v>
      </c>
      <c r="AC18">
        <v>8.17</v>
      </c>
      <c r="AD18">
        <v>44.15</v>
      </c>
      <c r="AE18">
        <v>8</v>
      </c>
      <c r="AF18">
        <v>26</v>
      </c>
      <c r="AG18">
        <v>25</v>
      </c>
      <c r="AH18">
        <v>14</v>
      </c>
      <c r="AI18">
        <v>3.1</v>
      </c>
      <c r="AJ18">
        <v>28</v>
      </c>
      <c r="AK18">
        <v>3</v>
      </c>
      <c r="AN18" t="s">
        <v>40</v>
      </c>
      <c r="AO18" t="s">
        <v>53</v>
      </c>
      <c r="AP18" t="s">
        <v>54</v>
      </c>
      <c r="AQ18" s="1">
        <v>2E-3</v>
      </c>
      <c r="AR18" s="1">
        <v>0.85499999999999998</v>
      </c>
      <c r="AS18" s="1">
        <v>0.14299999999999999</v>
      </c>
      <c r="AT18" s="1">
        <v>0</v>
      </c>
      <c r="AU18" s="1">
        <v>0</v>
      </c>
      <c r="AV18" s="1">
        <v>0</v>
      </c>
      <c r="AW18" s="1">
        <v>0</v>
      </c>
      <c r="AX18" s="1">
        <v>2E-3</v>
      </c>
      <c r="AY18" s="1">
        <v>5.3999999999999999E-2</v>
      </c>
      <c r="AZ18" s="1">
        <v>0.219</v>
      </c>
      <c r="BA18" s="1">
        <v>0.245</v>
      </c>
      <c r="BB18" s="1">
        <v>0.183</v>
      </c>
      <c r="BC18" s="1">
        <v>0.154</v>
      </c>
      <c r="BD18" s="1">
        <v>9.5000000000000001E-2</v>
      </c>
      <c r="BE18" s="1">
        <v>3.6999999999999998E-2</v>
      </c>
      <c r="BF18" s="1">
        <v>1.0999999999999999E-2</v>
      </c>
      <c r="BG18" s="1">
        <v>0</v>
      </c>
      <c r="BH18" s="1">
        <v>0</v>
      </c>
      <c r="BI18" s="1">
        <v>0</v>
      </c>
      <c r="BR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</row>
    <row r="19" spans="1:109" ht="15" thickBot="1" x14ac:dyDescent="0.35">
      <c r="A19" t="s">
        <v>113</v>
      </c>
      <c r="B19">
        <v>0.47068215139534603</v>
      </c>
      <c r="C19">
        <v>-1.20562259186596E-3</v>
      </c>
      <c r="D19">
        <v>0.47068215139534603</v>
      </c>
      <c r="E19">
        <v>-1.20562259186596E-3</v>
      </c>
      <c r="F19">
        <v>3</v>
      </c>
      <c r="G19" t="s">
        <v>114</v>
      </c>
      <c r="H19">
        <v>26</v>
      </c>
      <c r="I19" s="3" t="s">
        <v>193</v>
      </c>
      <c r="J19">
        <v>88</v>
      </c>
      <c r="K19">
        <f t="shared" si="0"/>
        <v>12</v>
      </c>
      <c r="L19">
        <v>98</v>
      </c>
      <c r="M19">
        <f t="shared" si="1"/>
        <v>2</v>
      </c>
      <c r="N19" t="s">
        <v>131</v>
      </c>
      <c r="O19" t="s">
        <v>113</v>
      </c>
      <c r="P19" t="s">
        <v>113</v>
      </c>
      <c r="Q19" t="s">
        <v>115</v>
      </c>
      <c r="R19">
        <v>18.147839999999999</v>
      </c>
      <c r="S19">
        <v>-65.444999999999993</v>
      </c>
      <c r="T19" s="1">
        <v>1.5100000000000001E-2</v>
      </c>
      <c r="U19">
        <v>48</v>
      </c>
      <c r="V19">
        <v>1.3824202000000001</v>
      </c>
      <c r="W19">
        <v>-0.89148039999999995</v>
      </c>
      <c r="X19">
        <v>-0.54584098999999997</v>
      </c>
      <c r="Y19" t="s">
        <v>31</v>
      </c>
      <c r="Z19" t="s">
        <v>116</v>
      </c>
      <c r="AA19">
        <v>21.7</v>
      </c>
      <c r="AB19">
        <v>10.4</v>
      </c>
      <c r="AC19">
        <v>8.2949999999999999</v>
      </c>
      <c r="AD19">
        <v>45.7</v>
      </c>
      <c r="AE19">
        <v>0.5</v>
      </c>
      <c r="AF19">
        <v>27.5</v>
      </c>
      <c r="AG19">
        <v>88</v>
      </c>
      <c r="AH19">
        <v>13</v>
      </c>
      <c r="AI19">
        <v>4.8</v>
      </c>
      <c r="AJ19">
        <v>35</v>
      </c>
      <c r="AK19">
        <v>6</v>
      </c>
      <c r="AN19" t="s">
        <v>33</v>
      </c>
      <c r="AO19" t="s">
        <v>89</v>
      </c>
      <c r="AP19" t="s">
        <v>117</v>
      </c>
      <c r="AQ19" s="1">
        <v>8.4000000000000005E-2</v>
      </c>
      <c r="AR19" s="1">
        <v>0.91200000000000003</v>
      </c>
      <c r="AS19" s="1">
        <v>4.0000000000000001E-3</v>
      </c>
      <c r="AT19" s="1">
        <v>0</v>
      </c>
      <c r="AU19" s="1">
        <v>0</v>
      </c>
      <c r="AV19" s="1">
        <v>0</v>
      </c>
      <c r="AW19" s="1">
        <v>2.8000000000000001E-2</v>
      </c>
      <c r="AX19" s="1">
        <v>5.6000000000000001E-2</v>
      </c>
      <c r="AY19" s="1">
        <v>0.10299999999999999</v>
      </c>
      <c r="AZ19" s="1">
        <v>9.6000000000000002E-2</v>
      </c>
      <c r="BA19" s="1">
        <v>5.7000000000000002E-2</v>
      </c>
      <c r="BB19" s="1">
        <v>0.41699999999999998</v>
      </c>
      <c r="BC19" s="1">
        <v>0.23899999999999999</v>
      </c>
      <c r="BD19" s="1">
        <v>4.0000000000000001E-3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R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</row>
    <row r="20" spans="1:109" ht="15" thickBot="1" x14ac:dyDescent="0.35">
      <c r="A20" t="s">
        <v>118</v>
      </c>
      <c r="B20">
        <v>-0.40908296738699401</v>
      </c>
      <c r="C20">
        <v>-8.9256235024659195E-2</v>
      </c>
      <c r="D20">
        <v>-0.40908296738699401</v>
      </c>
      <c r="E20">
        <v>-8.9256235024659195E-2</v>
      </c>
      <c r="F20">
        <v>3</v>
      </c>
      <c r="G20" t="s">
        <v>114</v>
      </c>
      <c r="H20">
        <v>26</v>
      </c>
      <c r="I20" s="3" t="s">
        <v>193</v>
      </c>
      <c r="J20">
        <v>0</v>
      </c>
      <c r="K20">
        <f t="shared" si="0"/>
        <v>100</v>
      </c>
      <c r="L20">
        <v>53</v>
      </c>
      <c r="M20">
        <f t="shared" si="1"/>
        <v>47</v>
      </c>
      <c r="N20" t="s">
        <v>131</v>
      </c>
      <c r="O20" t="s">
        <v>118</v>
      </c>
      <c r="P20" t="s">
        <v>118</v>
      </c>
      <c r="Q20" t="s">
        <v>119</v>
      </c>
      <c r="R20">
        <v>18.151140000000002</v>
      </c>
      <c r="S20">
        <v>-65.442999999999998</v>
      </c>
      <c r="T20" s="1">
        <v>1.95E-2</v>
      </c>
      <c r="U20">
        <v>28</v>
      </c>
      <c r="V20">
        <v>1.2615551</v>
      </c>
      <c r="W20">
        <v>-0.90996049999999995</v>
      </c>
      <c r="X20">
        <v>-0.56487564999999995</v>
      </c>
      <c r="Y20" t="s">
        <v>38</v>
      </c>
      <c r="Z20" t="s">
        <v>120</v>
      </c>
      <c r="AA20">
        <v>21.3</v>
      </c>
      <c r="AB20">
        <v>10.35</v>
      </c>
      <c r="AC20">
        <v>8.3000000000000007</v>
      </c>
      <c r="AD20">
        <v>46.1</v>
      </c>
      <c r="AE20">
        <v>1</v>
      </c>
      <c r="AF20">
        <v>27.5</v>
      </c>
      <c r="AG20">
        <v>98</v>
      </c>
      <c r="AH20">
        <v>12.3</v>
      </c>
      <c r="AI20">
        <v>4.8</v>
      </c>
      <c r="AJ20">
        <v>40</v>
      </c>
      <c r="AK20">
        <v>3</v>
      </c>
      <c r="AN20" t="s">
        <v>33</v>
      </c>
      <c r="AO20" t="s">
        <v>89</v>
      </c>
      <c r="AP20" t="s">
        <v>117</v>
      </c>
      <c r="AQ20" s="1">
        <v>0.115</v>
      </c>
      <c r="AR20" s="1">
        <v>0.88100000000000001</v>
      </c>
      <c r="AS20" s="1">
        <v>4.0000000000000001E-3</v>
      </c>
      <c r="AT20" s="1">
        <v>0</v>
      </c>
      <c r="AU20" s="1">
        <v>0</v>
      </c>
      <c r="AV20" s="1">
        <v>0.04</v>
      </c>
      <c r="AW20" s="1">
        <v>2.7E-2</v>
      </c>
      <c r="AX20" s="1">
        <v>4.8000000000000001E-2</v>
      </c>
      <c r="AY20" s="1">
        <v>9.4E-2</v>
      </c>
      <c r="AZ20" s="1">
        <v>8.3000000000000004E-2</v>
      </c>
      <c r="BA20" s="1">
        <v>5.6000000000000001E-2</v>
      </c>
      <c r="BB20" s="1">
        <v>0.41399999999999998</v>
      </c>
      <c r="BC20" s="1">
        <v>0.23499999999999999</v>
      </c>
      <c r="BD20" s="1">
        <v>4.0000000000000001E-3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R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</row>
    <row r="21" spans="1:109" ht="15" thickBot="1" x14ac:dyDescent="0.35">
      <c r="A21" t="s">
        <v>121</v>
      </c>
      <c r="B21">
        <v>-0.36639594258349201</v>
      </c>
      <c r="C21">
        <v>-4.29414655656827E-2</v>
      </c>
      <c r="D21">
        <v>-0.36639594258349201</v>
      </c>
      <c r="E21">
        <v>-4.29414655656827E-2</v>
      </c>
      <c r="F21">
        <v>3</v>
      </c>
      <c r="G21" t="s">
        <v>114</v>
      </c>
      <c r="H21">
        <v>14</v>
      </c>
      <c r="I21" s="3" t="s">
        <v>191</v>
      </c>
      <c r="J21">
        <v>98</v>
      </c>
      <c r="K21">
        <f t="shared" si="0"/>
        <v>2</v>
      </c>
      <c r="L21">
        <v>85</v>
      </c>
      <c r="M21">
        <f t="shared" si="1"/>
        <v>15</v>
      </c>
      <c r="N21" t="s">
        <v>131</v>
      </c>
      <c r="O21" t="s">
        <v>121</v>
      </c>
      <c r="P21" t="s">
        <v>121</v>
      </c>
      <c r="Q21" t="s">
        <v>122</v>
      </c>
      <c r="R21">
        <v>18.152699999999999</v>
      </c>
      <c r="S21">
        <v>-65.442999999999998</v>
      </c>
      <c r="T21" s="1">
        <v>2.9700000000000001E-2</v>
      </c>
      <c r="U21">
        <v>85</v>
      </c>
      <c r="V21">
        <v>3.4674697000000001</v>
      </c>
      <c r="W21">
        <v>0.68562429999999996</v>
      </c>
      <c r="X21">
        <v>-2.1491429999999999E-2</v>
      </c>
      <c r="Y21" t="s">
        <v>45</v>
      </c>
      <c r="Z21" t="s">
        <v>123</v>
      </c>
      <c r="AA21">
        <v>21.7</v>
      </c>
      <c r="AB21">
        <v>10.4</v>
      </c>
      <c r="AC21">
        <v>8.2949999999999999</v>
      </c>
      <c r="AD21">
        <v>45.7</v>
      </c>
      <c r="AE21">
        <v>0.5</v>
      </c>
      <c r="AF21">
        <v>27.5</v>
      </c>
      <c r="AG21">
        <v>3</v>
      </c>
      <c r="AH21">
        <v>7.9</v>
      </c>
      <c r="AI21">
        <v>4.0999999999999996</v>
      </c>
      <c r="AJ21">
        <v>29</v>
      </c>
      <c r="AK21">
        <v>6</v>
      </c>
      <c r="AN21" t="s">
        <v>124</v>
      </c>
      <c r="AO21" t="s">
        <v>89</v>
      </c>
      <c r="AP21" t="s">
        <v>125</v>
      </c>
      <c r="AQ21" s="1">
        <v>0.13</v>
      </c>
      <c r="AR21" s="1">
        <v>0.87</v>
      </c>
      <c r="AS21" s="1">
        <v>0</v>
      </c>
      <c r="AT21" s="1">
        <v>0</v>
      </c>
      <c r="AU21" s="1">
        <v>0</v>
      </c>
      <c r="AV21" s="1">
        <v>6.3E-2</v>
      </c>
      <c r="AW21" s="1">
        <v>2.1000000000000001E-2</v>
      </c>
      <c r="AX21" s="1">
        <v>4.5999999999999999E-2</v>
      </c>
      <c r="AY21" s="1">
        <v>0.18099999999999999</v>
      </c>
      <c r="AZ21" s="1">
        <v>0.60499999999999998</v>
      </c>
      <c r="BA21" s="1">
        <v>8.5000000000000006E-2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R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</row>
    <row r="22" spans="1:109" ht="27.6" thickBot="1" x14ac:dyDescent="0.35">
      <c r="A22" t="s">
        <v>126</v>
      </c>
      <c r="B22">
        <v>-0.39143816235789902</v>
      </c>
      <c r="C22">
        <v>-9.2270785137826994E-2</v>
      </c>
      <c r="D22">
        <v>-0.39143816235789902</v>
      </c>
      <c r="E22">
        <v>-9.2270785137826994E-2</v>
      </c>
      <c r="F22">
        <v>3</v>
      </c>
      <c r="G22" t="s">
        <v>127</v>
      </c>
      <c r="H22">
        <v>4</v>
      </c>
      <c r="I22" s="3" t="s">
        <v>190</v>
      </c>
      <c r="J22">
        <v>0</v>
      </c>
      <c r="K22">
        <f t="shared" si="0"/>
        <v>100</v>
      </c>
      <c r="L22">
        <v>33</v>
      </c>
      <c r="M22">
        <f t="shared" si="1"/>
        <v>67</v>
      </c>
      <c r="N22" t="s">
        <v>131</v>
      </c>
      <c r="O22" t="s">
        <v>128</v>
      </c>
      <c r="P22" t="s">
        <v>126</v>
      </c>
      <c r="Q22" t="s">
        <v>129</v>
      </c>
      <c r="R22">
        <v>18.156649999999999</v>
      </c>
      <c r="S22">
        <v>-65.373800000000003</v>
      </c>
      <c r="T22" s="1">
        <v>0.20330000000000001</v>
      </c>
      <c r="U22">
        <v>106</v>
      </c>
      <c r="V22">
        <v>2.6342604999999999</v>
      </c>
      <c r="W22">
        <v>-0.14995849999999999</v>
      </c>
      <c r="X22">
        <v>2.0797864000000001</v>
      </c>
      <c r="Y22" t="s">
        <v>31</v>
      </c>
      <c r="Z22" t="s">
        <v>130</v>
      </c>
      <c r="AA22">
        <v>21.225000000000001</v>
      </c>
      <c r="AB22">
        <v>9.5749999999999993</v>
      </c>
      <c r="AC22">
        <v>8.1675000000000004</v>
      </c>
      <c r="AD22">
        <v>55</v>
      </c>
      <c r="AE22" t="s">
        <v>131</v>
      </c>
      <c r="AF22">
        <v>20</v>
      </c>
      <c r="AG22">
        <v>0</v>
      </c>
      <c r="AH22">
        <v>12</v>
      </c>
      <c r="AI22">
        <v>4.2</v>
      </c>
      <c r="AJ22">
        <v>2</v>
      </c>
      <c r="AK22">
        <v>2</v>
      </c>
      <c r="AN22" t="s">
        <v>52</v>
      </c>
      <c r="AO22" t="s">
        <v>53</v>
      </c>
      <c r="AP22" t="s">
        <v>132</v>
      </c>
      <c r="AQ22" s="1">
        <v>1E-3</v>
      </c>
      <c r="AR22" s="1">
        <v>0.77200000000000002</v>
      </c>
      <c r="AS22" s="1">
        <v>0.22700000000000001</v>
      </c>
      <c r="AT22" s="1">
        <v>0</v>
      </c>
      <c r="AU22" s="1">
        <v>0</v>
      </c>
      <c r="AV22" s="1">
        <v>0</v>
      </c>
      <c r="AW22" s="1">
        <v>0</v>
      </c>
      <c r="AX22" s="1">
        <v>1E-3</v>
      </c>
      <c r="AY22" s="1">
        <v>6.2E-2</v>
      </c>
      <c r="AZ22" s="1">
        <v>0.24199999999999999</v>
      </c>
      <c r="BA22" s="1">
        <v>0.21199999999999999</v>
      </c>
      <c r="BB22" s="1">
        <v>0.14299999999999999</v>
      </c>
      <c r="BC22" s="1">
        <v>0.112</v>
      </c>
      <c r="BD22" s="1">
        <v>8.3000000000000004E-2</v>
      </c>
      <c r="BE22" s="1">
        <v>5.2999999999999999E-2</v>
      </c>
      <c r="BF22" s="1">
        <v>0.04</v>
      </c>
      <c r="BG22" s="1">
        <v>3.1E-2</v>
      </c>
      <c r="BH22" s="1">
        <v>1.7000000000000001E-2</v>
      </c>
      <c r="BI22" s="1">
        <v>3.0000000000000001E-3</v>
      </c>
      <c r="BR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</row>
    <row r="23" spans="1:109" ht="27.6" thickBot="1" x14ac:dyDescent="0.35">
      <c r="A23" t="s">
        <v>133</v>
      </c>
      <c r="B23">
        <v>0.463035251209506</v>
      </c>
      <c r="C23">
        <v>-2.65765358465299E-2</v>
      </c>
      <c r="D23">
        <v>0.463035251209506</v>
      </c>
      <c r="E23">
        <v>-2.65765358465299E-2</v>
      </c>
      <c r="F23">
        <v>3</v>
      </c>
      <c r="G23" t="s">
        <v>127</v>
      </c>
      <c r="H23">
        <v>3</v>
      </c>
      <c r="I23" s="3" t="s">
        <v>190</v>
      </c>
      <c r="J23">
        <v>3</v>
      </c>
      <c r="K23">
        <f t="shared" si="0"/>
        <v>97</v>
      </c>
      <c r="L23">
        <v>93</v>
      </c>
      <c r="M23">
        <f t="shared" si="1"/>
        <v>7</v>
      </c>
      <c r="N23" t="s">
        <v>131</v>
      </c>
      <c r="O23" t="s">
        <v>134</v>
      </c>
      <c r="P23" t="s">
        <v>133</v>
      </c>
      <c r="Q23" t="s">
        <v>135</v>
      </c>
      <c r="R23">
        <v>18.15663</v>
      </c>
      <c r="S23">
        <v>-65.374099999999999</v>
      </c>
      <c r="T23" s="1">
        <v>0.20100000000000001</v>
      </c>
      <c r="U23">
        <v>48</v>
      </c>
      <c r="V23">
        <v>1.1027822</v>
      </c>
      <c r="W23">
        <v>-0.37347150000000001</v>
      </c>
      <c r="X23">
        <v>0.42211837000000002</v>
      </c>
      <c r="Y23" t="s">
        <v>38</v>
      </c>
      <c r="Z23" t="s">
        <v>136</v>
      </c>
      <c r="AA23">
        <v>22.75</v>
      </c>
      <c r="AB23">
        <v>2.5</v>
      </c>
      <c r="AC23">
        <v>7.93</v>
      </c>
      <c r="AD23">
        <v>54.7</v>
      </c>
      <c r="AE23" t="s">
        <v>131</v>
      </c>
      <c r="AF23">
        <v>42.5</v>
      </c>
      <c r="AG23">
        <v>0</v>
      </c>
      <c r="AH23">
        <v>14</v>
      </c>
      <c r="AI23">
        <v>4.3</v>
      </c>
      <c r="AJ23">
        <v>1.8</v>
      </c>
      <c r="AK23">
        <v>2</v>
      </c>
      <c r="AN23" t="s">
        <v>40</v>
      </c>
      <c r="AO23" t="s">
        <v>34</v>
      </c>
      <c r="AP23" t="s">
        <v>137</v>
      </c>
      <c r="AQ23" s="1">
        <v>0</v>
      </c>
      <c r="AR23" s="1">
        <v>0.81499999999999995</v>
      </c>
      <c r="AS23" s="1">
        <v>0.185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5.5E-2</v>
      </c>
      <c r="AZ23" s="1">
        <v>0.255</v>
      </c>
      <c r="BA23" s="1">
        <v>0.22900000000000001</v>
      </c>
      <c r="BB23" s="1">
        <v>0.16600000000000001</v>
      </c>
      <c r="BC23" s="1">
        <v>0.109</v>
      </c>
      <c r="BD23" s="1">
        <v>7.0000000000000007E-2</v>
      </c>
      <c r="BE23" s="1">
        <v>4.2999999999999997E-2</v>
      </c>
      <c r="BF23" s="1">
        <v>3.2000000000000001E-2</v>
      </c>
      <c r="BG23" s="1">
        <v>2.5000000000000001E-2</v>
      </c>
      <c r="BH23" s="1">
        <v>1.4999999999999999E-2</v>
      </c>
      <c r="BI23" s="1">
        <v>0</v>
      </c>
      <c r="BR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</row>
    <row r="24" spans="1:109" ht="27.6" thickBot="1" x14ac:dyDescent="0.35">
      <c r="A24" t="s">
        <v>138</v>
      </c>
      <c r="B24">
        <v>0.486494995202716</v>
      </c>
      <c r="C24">
        <v>-3.3364939804813303E-2</v>
      </c>
      <c r="D24">
        <v>0.486494995202716</v>
      </c>
      <c r="E24">
        <v>-3.3364939804813303E-2</v>
      </c>
      <c r="F24">
        <v>3</v>
      </c>
      <c r="G24" t="s">
        <v>127</v>
      </c>
      <c r="H24">
        <v>8</v>
      </c>
      <c r="I24" s="3" t="s">
        <v>190</v>
      </c>
      <c r="J24">
        <v>0</v>
      </c>
      <c r="K24">
        <f t="shared" si="0"/>
        <v>100</v>
      </c>
      <c r="L24">
        <v>73</v>
      </c>
      <c r="M24">
        <f t="shared" si="1"/>
        <v>27</v>
      </c>
      <c r="N24" t="s">
        <v>131</v>
      </c>
      <c r="O24" t="s">
        <v>139</v>
      </c>
      <c r="P24" t="s">
        <v>138</v>
      </c>
      <c r="Q24" t="s">
        <v>140</v>
      </c>
      <c r="R24">
        <v>18.15663</v>
      </c>
      <c r="S24">
        <v>-65.374200000000002</v>
      </c>
      <c r="T24" s="1">
        <v>0.19800000000000001</v>
      </c>
      <c r="U24">
        <v>101</v>
      </c>
      <c r="V24">
        <v>3.0887307000000002</v>
      </c>
      <c r="W24">
        <v>-0.6289633</v>
      </c>
      <c r="X24">
        <v>0.15615694999999999</v>
      </c>
      <c r="Y24" t="s">
        <v>45</v>
      </c>
      <c r="Z24" t="s">
        <v>141</v>
      </c>
      <c r="AA24">
        <v>22.75</v>
      </c>
      <c r="AB24">
        <v>2.2999999999999998</v>
      </c>
      <c r="AC24">
        <v>8.0549999999999997</v>
      </c>
      <c r="AD24">
        <v>55.7</v>
      </c>
      <c r="AE24" t="s">
        <v>131</v>
      </c>
      <c r="AF24">
        <v>32.5</v>
      </c>
      <c r="AG24">
        <v>0</v>
      </c>
      <c r="AH24">
        <v>12.8</v>
      </c>
      <c r="AI24">
        <v>3.7</v>
      </c>
      <c r="AJ24">
        <v>1.5</v>
      </c>
      <c r="AK24">
        <v>3</v>
      </c>
      <c r="AN24" t="s">
        <v>52</v>
      </c>
      <c r="AO24" t="s">
        <v>34</v>
      </c>
      <c r="AP24" t="s">
        <v>35</v>
      </c>
      <c r="AQ24" s="1">
        <v>0</v>
      </c>
      <c r="AR24" s="1">
        <v>0.80200000000000005</v>
      </c>
      <c r="AS24" s="1">
        <v>0.19800000000000001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7.6999999999999999E-2</v>
      </c>
      <c r="AZ24" s="1">
        <v>0.22700000000000001</v>
      </c>
      <c r="BA24" s="1">
        <v>0.252</v>
      </c>
      <c r="BB24" s="1">
        <v>0.14299999999999999</v>
      </c>
      <c r="BC24" s="1">
        <v>0.10199999999999999</v>
      </c>
      <c r="BD24" s="1">
        <v>7.0999999999999994E-2</v>
      </c>
      <c r="BE24" s="1">
        <v>4.3999999999999997E-2</v>
      </c>
      <c r="BF24" s="1">
        <v>3.5000000000000003E-2</v>
      </c>
      <c r="BG24" s="1">
        <v>2.9000000000000001E-2</v>
      </c>
      <c r="BH24" s="1">
        <v>1.7000000000000001E-2</v>
      </c>
      <c r="BI24" s="1">
        <v>3.0000000000000001E-3</v>
      </c>
      <c r="BR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</row>
    <row r="25" spans="1:109" ht="15" thickBot="1" x14ac:dyDescent="0.35">
      <c r="A25" t="s">
        <v>142</v>
      </c>
      <c r="B25">
        <v>0.47267937658900699</v>
      </c>
      <c r="C25">
        <v>-2.35874518342955E-2</v>
      </c>
      <c r="D25">
        <v>0.47267937658900699</v>
      </c>
      <c r="E25">
        <v>-2.35874518342955E-2</v>
      </c>
      <c r="F25">
        <v>4</v>
      </c>
      <c r="G25" t="s">
        <v>143</v>
      </c>
      <c r="H25">
        <v>25</v>
      </c>
      <c r="I25" s="3" t="s">
        <v>193</v>
      </c>
      <c r="J25">
        <v>88</v>
      </c>
      <c r="K25">
        <f t="shared" si="0"/>
        <v>12</v>
      </c>
      <c r="L25">
        <v>90</v>
      </c>
      <c r="M25">
        <f t="shared" si="1"/>
        <v>10</v>
      </c>
      <c r="N25" t="s">
        <v>131</v>
      </c>
      <c r="O25" t="s">
        <v>142</v>
      </c>
      <c r="P25" t="s">
        <v>142</v>
      </c>
      <c r="Q25" t="s">
        <v>144</v>
      </c>
      <c r="R25">
        <v>18.134039999999999</v>
      </c>
      <c r="S25">
        <v>-65.298299999999998</v>
      </c>
      <c r="T25" s="1">
        <v>3.2099999999999997E-2</v>
      </c>
      <c r="U25">
        <v>41</v>
      </c>
      <c r="V25">
        <v>0.89793460000000003</v>
      </c>
      <c r="W25">
        <v>-0.87672039999999996</v>
      </c>
      <c r="X25">
        <v>-0.57441092000000005</v>
      </c>
      <c r="Y25" t="s">
        <v>31</v>
      </c>
      <c r="Z25" t="s">
        <v>145</v>
      </c>
      <c r="AA25">
        <v>21.35</v>
      </c>
      <c r="AB25">
        <v>9.3000000000000007</v>
      </c>
      <c r="AC25">
        <v>8.0500000000000007</v>
      </c>
      <c r="AD25">
        <v>43.75</v>
      </c>
      <c r="AE25">
        <v>8</v>
      </c>
      <c r="AF25">
        <v>25</v>
      </c>
      <c r="AG25">
        <v>88</v>
      </c>
      <c r="AH25">
        <v>1.4</v>
      </c>
      <c r="AI25">
        <v>0.3</v>
      </c>
      <c r="AJ25">
        <v>4</v>
      </c>
      <c r="AK25">
        <v>0.4</v>
      </c>
      <c r="AN25" t="s">
        <v>40</v>
      </c>
      <c r="AO25" t="s">
        <v>146</v>
      </c>
      <c r="AP25" t="s">
        <v>147</v>
      </c>
      <c r="AQ25" s="1">
        <v>4.2000000000000003E-2</v>
      </c>
      <c r="AR25" s="1">
        <v>0.95799999999999996</v>
      </c>
      <c r="AS25" s="1">
        <v>0</v>
      </c>
      <c r="AT25" s="1">
        <v>0</v>
      </c>
      <c r="AU25" s="1">
        <v>0</v>
      </c>
      <c r="AV25" s="1">
        <v>1.4E-2</v>
      </c>
      <c r="AW25" s="1">
        <v>5.0000000000000001E-3</v>
      </c>
      <c r="AX25" s="1">
        <v>2.3E-2</v>
      </c>
      <c r="AY25" s="1">
        <v>0.11899999999999999</v>
      </c>
      <c r="AZ25" s="1">
        <v>0.22600000000000001</v>
      </c>
      <c r="BA25" s="1">
        <v>0.30099999999999999</v>
      </c>
      <c r="BB25" s="1">
        <v>0.27600000000000002</v>
      </c>
      <c r="BC25" s="1">
        <v>3.6999999999999998E-2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R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</row>
    <row r="26" spans="1:109" ht="15" thickBot="1" x14ac:dyDescent="0.35">
      <c r="A26" t="s">
        <v>148</v>
      </c>
      <c r="B26">
        <v>-0.266225155192862</v>
      </c>
      <c r="C26">
        <v>0.55823077796720499</v>
      </c>
      <c r="D26">
        <v>-0.266225155192862</v>
      </c>
      <c r="E26">
        <v>0.55823077796720499</v>
      </c>
      <c r="F26">
        <v>4</v>
      </c>
      <c r="G26" t="s">
        <v>143</v>
      </c>
      <c r="H26">
        <v>27</v>
      </c>
      <c r="I26" s="3" t="s">
        <v>193</v>
      </c>
      <c r="J26">
        <v>90</v>
      </c>
      <c r="K26">
        <f t="shared" si="0"/>
        <v>10</v>
      </c>
      <c r="L26">
        <v>78</v>
      </c>
      <c r="M26">
        <f t="shared" si="1"/>
        <v>22</v>
      </c>
      <c r="N26" t="s">
        <v>131</v>
      </c>
      <c r="O26" t="s">
        <v>148</v>
      </c>
      <c r="P26" t="s">
        <v>148</v>
      </c>
      <c r="Q26" t="s">
        <v>149</v>
      </c>
      <c r="R26">
        <v>18.13531</v>
      </c>
      <c r="S26">
        <v>-65.299700000000001</v>
      </c>
      <c r="T26" s="1">
        <v>3.9E-2</v>
      </c>
      <c r="U26">
        <v>50</v>
      </c>
      <c r="V26">
        <v>1.4148521999999999</v>
      </c>
      <c r="W26">
        <v>-0.85428559999999998</v>
      </c>
      <c r="X26">
        <v>-0.55918334000000003</v>
      </c>
      <c r="Y26" t="s">
        <v>38</v>
      </c>
      <c r="Z26" t="s">
        <v>150</v>
      </c>
      <c r="AA26">
        <v>21.15</v>
      </c>
      <c r="AB26">
        <v>9.4499999999999993</v>
      </c>
      <c r="AC26">
        <v>8.1199999999999992</v>
      </c>
      <c r="AD26">
        <v>44.6</v>
      </c>
      <c r="AE26">
        <v>1</v>
      </c>
      <c r="AF26">
        <v>25</v>
      </c>
      <c r="AG26">
        <v>90</v>
      </c>
      <c r="AH26">
        <v>1.3</v>
      </c>
      <c r="AI26">
        <v>1.5</v>
      </c>
      <c r="AJ26">
        <v>4</v>
      </c>
      <c r="AK26">
        <v>0.2</v>
      </c>
      <c r="AN26" t="s">
        <v>151</v>
      </c>
      <c r="AO26" t="s">
        <v>146</v>
      </c>
      <c r="AP26" t="s">
        <v>152</v>
      </c>
      <c r="AQ26" s="1">
        <v>2.5999999999999999E-2</v>
      </c>
      <c r="AR26" s="1">
        <v>0.97399999999999998</v>
      </c>
      <c r="AS26" s="1">
        <v>0</v>
      </c>
      <c r="AT26" s="1">
        <v>0</v>
      </c>
      <c r="AU26" s="1">
        <v>0</v>
      </c>
      <c r="AV26" s="1">
        <v>0</v>
      </c>
      <c r="AW26" s="1">
        <v>4.0000000000000001E-3</v>
      </c>
      <c r="AX26" s="1">
        <v>2.1999999999999999E-2</v>
      </c>
      <c r="AY26" s="1">
        <v>7.0000000000000007E-2</v>
      </c>
      <c r="AZ26" s="1">
        <v>0.125</v>
      </c>
      <c r="BA26" s="1">
        <v>0.372</v>
      </c>
      <c r="BB26" s="1">
        <v>0.38600000000000001</v>
      </c>
      <c r="BC26" s="1">
        <v>2.1000000000000001E-2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R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</row>
    <row r="27" spans="1:109" ht="15" thickBot="1" x14ac:dyDescent="0.35">
      <c r="A27" t="s">
        <v>153</v>
      </c>
      <c r="B27">
        <v>-0.21731572218901801</v>
      </c>
      <c r="C27">
        <v>0.53164423913681202</v>
      </c>
      <c r="D27">
        <v>-0.21731572218901801</v>
      </c>
      <c r="E27">
        <v>0.53164423913681202</v>
      </c>
      <c r="F27">
        <v>4</v>
      </c>
      <c r="G27" t="s">
        <v>143</v>
      </c>
      <c r="H27">
        <v>24</v>
      </c>
      <c r="I27" s="3" t="s">
        <v>193</v>
      </c>
      <c r="J27">
        <v>80</v>
      </c>
      <c r="K27">
        <f t="shared" si="0"/>
        <v>20</v>
      </c>
      <c r="L27">
        <v>95</v>
      </c>
      <c r="M27">
        <f t="shared" si="1"/>
        <v>5</v>
      </c>
      <c r="N27" t="s">
        <v>131</v>
      </c>
      <c r="O27" t="s">
        <v>153</v>
      </c>
      <c r="P27" t="s">
        <v>153</v>
      </c>
      <c r="Q27" t="s">
        <v>154</v>
      </c>
      <c r="R27">
        <v>18.135580000000001</v>
      </c>
      <c r="S27">
        <v>-65.301100000000005</v>
      </c>
      <c r="T27" s="1">
        <v>3.7400000000000003E-2</v>
      </c>
      <c r="U27">
        <v>53</v>
      </c>
      <c r="V27">
        <v>1.7714439</v>
      </c>
      <c r="W27">
        <v>-0.87290489999999998</v>
      </c>
      <c r="X27">
        <v>-0.41235239000000001</v>
      </c>
      <c r="Y27" t="s">
        <v>45</v>
      </c>
      <c r="Z27" t="s">
        <v>155</v>
      </c>
      <c r="AA27">
        <v>21.2</v>
      </c>
      <c r="AB27">
        <v>9.3000000000000007</v>
      </c>
      <c r="AC27">
        <v>8.06</v>
      </c>
      <c r="AD27">
        <v>45.35</v>
      </c>
      <c r="AE27">
        <v>2</v>
      </c>
      <c r="AF27">
        <v>25</v>
      </c>
      <c r="AG27">
        <v>80</v>
      </c>
      <c r="AH27">
        <v>3</v>
      </c>
      <c r="AI27">
        <v>0.8</v>
      </c>
      <c r="AJ27">
        <v>4</v>
      </c>
      <c r="AK27">
        <v>1</v>
      </c>
      <c r="AN27" t="s">
        <v>75</v>
      </c>
      <c r="AO27" t="s">
        <v>146</v>
      </c>
      <c r="AP27" t="s">
        <v>147</v>
      </c>
      <c r="AQ27" s="1">
        <v>1.4999999999999999E-2</v>
      </c>
      <c r="AR27" s="1">
        <v>0.98499999999999999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1.4999999999999999E-2</v>
      </c>
      <c r="AY27" s="1">
        <v>9.4E-2</v>
      </c>
      <c r="AZ27" s="1">
        <v>0.32700000000000001</v>
      </c>
      <c r="BA27" s="1">
        <v>0.39800000000000002</v>
      </c>
      <c r="BB27" s="1">
        <v>0.14899999999999999</v>
      </c>
      <c r="BC27" s="1">
        <v>1.7000000000000001E-2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R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</row>
    <row r="28" spans="1:109" ht="27.6" thickBot="1" x14ac:dyDescent="0.35">
      <c r="A28" t="s">
        <v>156</v>
      </c>
      <c r="B28">
        <v>-0.41360709584886601</v>
      </c>
      <c r="C28">
        <v>-0.177946464401916</v>
      </c>
      <c r="D28">
        <v>-0.41360709584886601</v>
      </c>
      <c r="E28">
        <v>-0.177946464401916</v>
      </c>
      <c r="F28">
        <v>4</v>
      </c>
      <c r="G28" t="s">
        <v>157</v>
      </c>
      <c r="H28">
        <v>7</v>
      </c>
      <c r="I28" s="3" t="s">
        <v>190</v>
      </c>
      <c r="J28">
        <v>0</v>
      </c>
      <c r="K28">
        <f t="shared" si="0"/>
        <v>100</v>
      </c>
      <c r="L28">
        <v>65</v>
      </c>
      <c r="M28">
        <f t="shared" si="1"/>
        <v>35</v>
      </c>
      <c r="N28" t="s">
        <v>131</v>
      </c>
      <c r="O28" t="s">
        <v>156</v>
      </c>
      <c r="P28" t="s">
        <v>156</v>
      </c>
      <c r="Q28" t="s">
        <v>158</v>
      </c>
      <c r="R28">
        <v>18.13738</v>
      </c>
      <c r="S28">
        <v>-65.297499999999999</v>
      </c>
      <c r="T28" s="1">
        <v>0.31230000000000002</v>
      </c>
      <c r="U28">
        <v>88</v>
      </c>
      <c r="V28">
        <v>3.5208506000000002</v>
      </c>
      <c r="W28">
        <v>0.67704920000000002</v>
      </c>
      <c r="X28">
        <v>-1.3963329999999999E-2</v>
      </c>
      <c r="Y28" t="s">
        <v>31</v>
      </c>
      <c r="Z28" t="s">
        <v>159</v>
      </c>
      <c r="AA28">
        <v>22.55</v>
      </c>
      <c r="AB28">
        <v>5.4</v>
      </c>
      <c r="AC28">
        <v>8.0850000000000009</v>
      </c>
      <c r="AD28">
        <v>58</v>
      </c>
      <c r="AE28" t="s">
        <v>131</v>
      </c>
      <c r="AF28">
        <v>42</v>
      </c>
      <c r="AG28">
        <v>0</v>
      </c>
      <c r="AH28">
        <v>21</v>
      </c>
      <c r="AI28" t="s">
        <v>131</v>
      </c>
      <c r="AJ28">
        <v>5</v>
      </c>
      <c r="AK28">
        <v>1</v>
      </c>
      <c r="AN28" t="s">
        <v>52</v>
      </c>
      <c r="AO28" t="s">
        <v>53</v>
      </c>
      <c r="AP28" t="s">
        <v>160</v>
      </c>
      <c r="AQ28" s="1">
        <v>1E-3</v>
      </c>
      <c r="AR28" s="1">
        <v>0.61299999999999999</v>
      </c>
      <c r="AS28" s="1">
        <v>0.38600000000000001</v>
      </c>
      <c r="AT28" s="1">
        <v>0</v>
      </c>
      <c r="AU28" s="1">
        <v>0</v>
      </c>
      <c r="AV28" s="1">
        <v>0</v>
      </c>
      <c r="AW28" s="1">
        <v>0</v>
      </c>
      <c r="AX28" s="1">
        <v>1E-3</v>
      </c>
      <c r="AY28" s="1">
        <v>4.7E-2</v>
      </c>
      <c r="AZ28" s="1">
        <v>0.13600000000000001</v>
      </c>
      <c r="BA28" s="1">
        <v>0.03</v>
      </c>
      <c r="BB28" s="1">
        <v>0.113</v>
      </c>
      <c r="BC28" s="1">
        <v>0.28699999999999998</v>
      </c>
      <c r="BD28" s="1">
        <v>0.224</v>
      </c>
      <c r="BE28" s="1">
        <v>8.4000000000000005E-2</v>
      </c>
      <c r="BF28" s="1">
        <v>4.1000000000000002E-2</v>
      </c>
      <c r="BG28" s="1">
        <v>2.5000000000000001E-2</v>
      </c>
      <c r="BH28" s="1">
        <v>1.2999999999999999E-2</v>
      </c>
      <c r="BI28" s="1">
        <v>0</v>
      </c>
      <c r="BR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</row>
    <row r="29" spans="1:109" ht="27.6" thickBot="1" x14ac:dyDescent="0.35">
      <c r="A29" t="s">
        <v>161</v>
      </c>
      <c r="B29">
        <v>0.17703437234722399</v>
      </c>
      <c r="C29">
        <v>-6.69232363353556E-3</v>
      </c>
      <c r="D29">
        <v>0.17703437234722399</v>
      </c>
      <c r="E29">
        <v>-6.69232363353556E-3</v>
      </c>
      <c r="F29">
        <v>4</v>
      </c>
      <c r="G29" t="s">
        <v>157</v>
      </c>
      <c r="H29">
        <v>5</v>
      </c>
      <c r="I29" s="3" t="s">
        <v>190</v>
      </c>
      <c r="J29">
        <v>0</v>
      </c>
      <c r="K29">
        <f t="shared" si="0"/>
        <v>100</v>
      </c>
      <c r="L29">
        <v>58</v>
      </c>
      <c r="M29">
        <f t="shared" si="1"/>
        <v>42</v>
      </c>
      <c r="N29" t="s">
        <v>131</v>
      </c>
      <c r="O29" t="s">
        <v>161</v>
      </c>
      <c r="P29" t="s">
        <v>161</v>
      </c>
      <c r="Q29" t="s">
        <v>162</v>
      </c>
      <c r="R29">
        <v>18.13578</v>
      </c>
      <c r="S29">
        <v>-65.298000000000002</v>
      </c>
      <c r="T29" s="1">
        <v>0.16750000000000001</v>
      </c>
      <c r="U29">
        <v>62</v>
      </c>
      <c r="V29">
        <v>3.4102904999999999</v>
      </c>
      <c r="W29">
        <v>0.89231139999999998</v>
      </c>
      <c r="X29">
        <v>-0.30886371000000001</v>
      </c>
      <c r="Y29" t="s">
        <v>38</v>
      </c>
      <c r="Z29" t="s">
        <v>163</v>
      </c>
      <c r="AA29">
        <v>22.55</v>
      </c>
      <c r="AB29">
        <v>4.8</v>
      </c>
      <c r="AC29">
        <v>8.01</v>
      </c>
      <c r="AD29">
        <v>50.9</v>
      </c>
      <c r="AE29" t="s">
        <v>131</v>
      </c>
      <c r="AF29">
        <v>25.6</v>
      </c>
      <c r="AG29">
        <v>0</v>
      </c>
      <c r="AH29">
        <v>57</v>
      </c>
      <c r="AI29" t="s">
        <v>131</v>
      </c>
      <c r="AJ29">
        <v>19</v>
      </c>
      <c r="AK29">
        <v>1</v>
      </c>
      <c r="AN29" t="s">
        <v>40</v>
      </c>
      <c r="AO29" t="s">
        <v>53</v>
      </c>
      <c r="AP29" t="s">
        <v>54</v>
      </c>
      <c r="AQ29" s="1">
        <v>4.0000000000000001E-3</v>
      </c>
      <c r="AR29" s="1">
        <v>0.85599999999999998</v>
      </c>
      <c r="AS29" s="1">
        <v>0.14000000000000001</v>
      </c>
      <c r="AT29" s="1">
        <v>0</v>
      </c>
      <c r="AU29" s="1">
        <v>0</v>
      </c>
      <c r="AV29" s="1">
        <v>0</v>
      </c>
      <c r="AW29" s="1">
        <v>0</v>
      </c>
      <c r="AX29" s="1">
        <v>4.0000000000000001E-3</v>
      </c>
      <c r="AY29" s="1">
        <v>5.5E-2</v>
      </c>
      <c r="AZ29" s="1">
        <v>0.19700000000000001</v>
      </c>
      <c r="BA29" s="1">
        <v>0.26300000000000001</v>
      </c>
      <c r="BB29" s="1">
        <v>0.215</v>
      </c>
      <c r="BC29" s="1">
        <v>0.126</v>
      </c>
      <c r="BD29" s="1">
        <v>7.2999999999999995E-2</v>
      </c>
      <c r="BE29" s="1">
        <v>3.4000000000000002E-2</v>
      </c>
      <c r="BF29" s="1">
        <v>1.9E-2</v>
      </c>
      <c r="BG29" s="1">
        <v>1.2999999999999999E-2</v>
      </c>
      <c r="BH29" s="1">
        <v>1E-3</v>
      </c>
      <c r="BI29" s="1">
        <v>0</v>
      </c>
      <c r="BR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</row>
    <row r="30" spans="1:109" ht="15" thickBot="1" x14ac:dyDescent="0.35">
      <c r="A30" t="s">
        <v>164</v>
      </c>
      <c r="B30">
        <v>-0.34953079684288502</v>
      </c>
      <c r="C30">
        <v>-0.14172896493898601</v>
      </c>
      <c r="D30">
        <v>-0.34953079684288502</v>
      </c>
      <c r="E30">
        <v>-0.14172896493898601</v>
      </c>
      <c r="F30">
        <v>4</v>
      </c>
      <c r="G30" t="s">
        <v>157</v>
      </c>
      <c r="H30">
        <v>12</v>
      </c>
      <c r="I30" s="3" t="s">
        <v>191</v>
      </c>
      <c r="J30">
        <v>0</v>
      </c>
      <c r="K30">
        <f t="shared" si="0"/>
        <v>100</v>
      </c>
      <c r="L30">
        <v>93</v>
      </c>
      <c r="M30">
        <f t="shared" si="1"/>
        <v>7</v>
      </c>
      <c r="N30" t="s">
        <v>131</v>
      </c>
      <c r="O30" t="s">
        <v>164</v>
      </c>
      <c r="P30" t="s">
        <v>164</v>
      </c>
      <c r="Q30" t="s">
        <v>165</v>
      </c>
      <c r="R30">
        <v>18.134419999999999</v>
      </c>
      <c r="S30">
        <v>-65.297300000000007</v>
      </c>
      <c r="T30" s="1">
        <v>6.0600000000000001E-2</v>
      </c>
      <c r="U30">
        <v>102</v>
      </c>
      <c r="V30">
        <v>2.4963557999999999</v>
      </c>
      <c r="W30">
        <v>-0.82193989999999995</v>
      </c>
      <c r="X30">
        <v>-0.28306097000000002</v>
      </c>
      <c r="Y30" t="s">
        <v>45</v>
      </c>
      <c r="Z30" t="s">
        <v>166</v>
      </c>
      <c r="AA30">
        <v>22.65</v>
      </c>
      <c r="AB30">
        <v>1.8</v>
      </c>
      <c r="AC30">
        <v>7.84</v>
      </c>
      <c r="AD30">
        <v>26.664999999999999</v>
      </c>
      <c r="AE30">
        <v>8</v>
      </c>
      <c r="AF30">
        <v>39</v>
      </c>
      <c r="AG30">
        <v>0</v>
      </c>
      <c r="AH30">
        <v>1.9</v>
      </c>
      <c r="AI30" t="s">
        <v>131</v>
      </c>
      <c r="AJ30">
        <v>0</v>
      </c>
      <c r="AK30">
        <v>2</v>
      </c>
      <c r="AN30" t="s">
        <v>167</v>
      </c>
      <c r="AO30" t="s">
        <v>146</v>
      </c>
      <c r="AP30" t="s">
        <v>147</v>
      </c>
      <c r="AQ30" s="1">
        <v>3.0000000000000001E-3</v>
      </c>
      <c r="AR30" s="1">
        <v>0.92400000000000004</v>
      </c>
      <c r="AS30" s="1">
        <v>7.3999999999999996E-2</v>
      </c>
      <c r="AT30" s="1">
        <v>0</v>
      </c>
      <c r="AU30" s="1">
        <v>0</v>
      </c>
      <c r="AV30" s="1">
        <v>0</v>
      </c>
      <c r="AW30" s="1">
        <v>0</v>
      </c>
      <c r="AX30" s="1">
        <v>3.0000000000000001E-3</v>
      </c>
      <c r="AY30" s="1">
        <v>2.1000000000000001E-2</v>
      </c>
      <c r="AZ30" s="1">
        <v>0.111</v>
      </c>
      <c r="BA30" s="1">
        <v>0.41599999999999998</v>
      </c>
      <c r="BB30" s="1">
        <v>0.29399999999999998</v>
      </c>
      <c r="BC30" s="1">
        <v>8.2000000000000003E-2</v>
      </c>
      <c r="BD30" s="1">
        <v>4.7E-2</v>
      </c>
      <c r="BE30" s="1">
        <v>2.3E-2</v>
      </c>
      <c r="BF30" s="1">
        <v>4.0000000000000001E-3</v>
      </c>
      <c r="BG30" s="1">
        <v>0</v>
      </c>
      <c r="BH30" s="1">
        <v>0</v>
      </c>
      <c r="BI30" s="1">
        <v>0</v>
      </c>
      <c r="BR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valeria hernandez</dc:creator>
  <cp:lastModifiedBy>valeria hernandez</cp:lastModifiedBy>
  <dcterms:created xsi:type="dcterms:W3CDTF">2026-03-16T15:01:22Z</dcterms:created>
  <dcterms:modified xsi:type="dcterms:W3CDTF">2026-03-16T15:51:09Z</dcterms:modified>
</cp:coreProperties>
</file>
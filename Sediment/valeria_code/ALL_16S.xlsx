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b80f50dfe99ba93/Desktop/Amplicon_P.R_Sediments/16S _R/exports/ALL/"/>
    </mc:Choice>
  </mc:AlternateContent>
  <xr:revisionPtr revIDLastSave="3" documentId="13_ncr:1_{156C93DF-172B-4BA5-BA5C-BC4F8E00D1B5}" xr6:coauthVersionLast="47" xr6:coauthVersionMax="47" xr10:uidLastSave="{43A76419-7141-4D56-A2C1-6EBABB1AA95A}"/>
  <bookViews>
    <workbookView xWindow="-108" yWindow="-108" windowWidth="23256" windowHeight="12456" xr2:uid="{50DCA85F-9A8D-4CBF-8AAF-AC7FA3C10892}"/>
  </bookViews>
  <sheets>
    <sheet name="Shee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3" i="1" l="1"/>
  <c r="V4" i="1"/>
  <c r="V5" i="1"/>
  <c r="V6" i="1"/>
  <c r="V7" i="1"/>
  <c r="V8" i="1"/>
  <c r="V9" i="1"/>
  <c r="V10" i="1"/>
  <c r="V11" i="1"/>
  <c r="V12" i="1"/>
  <c r="V13" i="1"/>
  <c r="V14" i="1"/>
  <c r="V15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2" i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2" i="1"/>
</calcChain>
</file>

<file path=xl/sharedStrings.xml><?xml version="1.0" encoding="utf-8"?>
<sst xmlns="http://schemas.openxmlformats.org/spreadsheetml/2006/main" count="323" uniqueCount="168">
  <si>
    <t>Sample</t>
  </si>
  <si>
    <t>SampleID</t>
  </si>
  <si>
    <t>Location</t>
  </si>
  <si>
    <t>Zone</t>
  </si>
  <si>
    <t>Abbreviation</t>
  </si>
  <si>
    <t>Observed</t>
  </si>
  <si>
    <t>Chao1</t>
  </si>
  <si>
    <t>se.chao1</t>
  </si>
  <si>
    <t>Shannon</t>
  </si>
  <si>
    <t>Simpson</t>
  </si>
  <si>
    <t>Number.ID</t>
  </si>
  <si>
    <t>site</t>
  </si>
  <si>
    <t>Bac_Seq_abb</t>
  </si>
  <si>
    <t>Survival_100._96hrs</t>
  </si>
  <si>
    <t>Survival.10._24hrs</t>
  </si>
  <si>
    <t>Survival.1.25._24.hrs</t>
  </si>
  <si>
    <t>Bac_Seq</t>
  </si>
  <si>
    <t>BBSS1</t>
  </si>
  <si>
    <t>Bahia Salinas del Sur</t>
  </si>
  <si>
    <t>BBSS-SF_1</t>
  </si>
  <si>
    <t>Site1</t>
  </si>
  <si>
    <t>BBSS1_31</t>
  </si>
  <si>
    <t>NA</t>
  </si>
  <si>
    <t>BBSS1_31_L001_R1_001.fastq.gz</t>
  </si>
  <si>
    <t>BBSS2</t>
  </si>
  <si>
    <t>BBSS-SF_2</t>
  </si>
  <si>
    <t>Site2</t>
  </si>
  <si>
    <t>BBSS2_5</t>
  </si>
  <si>
    <t>BBSS2_5_L001_R1_001.fastq.gz</t>
  </si>
  <si>
    <t>BBSS3</t>
  </si>
  <si>
    <t>BBSS-SF_3</t>
  </si>
  <si>
    <t>Site3</t>
  </si>
  <si>
    <t>BBSS3_12</t>
  </si>
  <si>
    <t>BBSS3_12_L001_R1_001.fastq.gz</t>
  </si>
  <si>
    <t>ESZB1</t>
  </si>
  <si>
    <t>Ezperanza Beach</t>
  </si>
  <si>
    <t>ESZB_1</t>
  </si>
  <si>
    <t>ESZB1_32</t>
  </si>
  <si>
    <t>ESZB1_32_L001_R1_001.fastq.gz</t>
  </si>
  <si>
    <t>ESZB2</t>
  </si>
  <si>
    <t>ESZB_2</t>
  </si>
  <si>
    <t>ESZB2_21</t>
  </si>
  <si>
    <t>ESZB2_21_L001_R1_001.fastq.gz</t>
  </si>
  <si>
    <t>ESZB3</t>
  </si>
  <si>
    <t>ESZB_3</t>
  </si>
  <si>
    <t>ESZB3_4</t>
  </si>
  <si>
    <t>ESZB3_4_L001_R1_001.fastq.gz</t>
  </si>
  <si>
    <t>ISNC1</t>
  </si>
  <si>
    <t>Isabel II</t>
  </si>
  <si>
    <t>ISNC_1</t>
  </si>
  <si>
    <t>ISNC1_35</t>
  </si>
  <si>
    <t>ISNC1_35_L001_R1_001.fastq.gz</t>
  </si>
  <si>
    <t>ISNC2</t>
  </si>
  <si>
    <t>ISNC2_14</t>
  </si>
  <si>
    <t>ISNC2_14_L001_R1_001.fastq.gz</t>
  </si>
  <si>
    <t>ISNC</t>
  </si>
  <si>
    <t>ISNC3</t>
  </si>
  <si>
    <t>ISNC_3</t>
  </si>
  <si>
    <t>ISNC3_6</t>
  </si>
  <si>
    <t>ISNC3_6_L001_R1_001.fastq.gz</t>
  </si>
  <si>
    <t>LALG1</t>
  </si>
  <si>
    <t>Algodones</t>
  </si>
  <si>
    <t>LALG-SF_1</t>
  </si>
  <si>
    <t>LALG1_40</t>
  </si>
  <si>
    <t>LALG1_40_L001_R1_001.fastq.gz</t>
  </si>
  <si>
    <t>LALG2</t>
  </si>
  <si>
    <t>LALG-SF_2</t>
  </si>
  <si>
    <t>LALG2_9</t>
  </si>
  <si>
    <t>LALG2_9_L001_R1_001.fastq.gz</t>
  </si>
  <si>
    <t>LALG3</t>
  </si>
  <si>
    <t>LALG-SF_3</t>
  </si>
  <si>
    <t>LALG3_25</t>
  </si>
  <si>
    <t>LALG3_25_L001_R1_001.fastq.gz</t>
  </si>
  <si>
    <t>LAN1</t>
  </si>
  <si>
    <t>Anones</t>
  </si>
  <si>
    <t>LAN-SF_1</t>
  </si>
  <si>
    <t>LAN1_30</t>
  </si>
  <si>
    <t>LAN1_30_L001_R1_001.fastq.gz</t>
  </si>
  <si>
    <t>LAN2</t>
  </si>
  <si>
    <t>LAN-SF_2</t>
  </si>
  <si>
    <t>LAN2_18</t>
  </si>
  <si>
    <t>LAN2_18_L001_R1_001.fastq.gz</t>
  </si>
  <si>
    <t>LAN3</t>
  </si>
  <si>
    <t>LAN-SF_3</t>
  </si>
  <si>
    <t>LAN3_29</t>
  </si>
  <si>
    <t>LAN3_29_L001_R1_001.fastq.gz</t>
  </si>
  <si>
    <t>LBQ1</t>
  </si>
  <si>
    <t>Laguna Boca quebrada</t>
  </si>
  <si>
    <t>LBQ-SF_1</t>
  </si>
  <si>
    <t>LBQ1_43</t>
  </si>
  <si>
    <t>LBQ1_43_L001_R1_001.fastq.gz</t>
  </si>
  <si>
    <t>LBQ2</t>
  </si>
  <si>
    <t>LBQ-SF_2</t>
  </si>
  <si>
    <t>LBQ2_38</t>
  </si>
  <si>
    <t>LBQ2_38_L001_R1_001.fastq.gz</t>
  </si>
  <si>
    <t>LBQ3</t>
  </si>
  <si>
    <t>LBQ-SF_3</t>
  </si>
  <si>
    <t>LBQ3_11</t>
  </si>
  <si>
    <t>LBQ3_11_L001_R1_001.fastq.gz</t>
  </si>
  <si>
    <t>LIK1</t>
  </si>
  <si>
    <t>Lagoon Kiani</t>
  </si>
  <si>
    <t>LKI_1</t>
  </si>
  <si>
    <t>LIK1_13</t>
  </si>
  <si>
    <t>LIK1_13_L001_R1_001.fastq.gz</t>
  </si>
  <si>
    <t>LKI2</t>
  </si>
  <si>
    <t>LKI_2</t>
  </si>
  <si>
    <t>LKI2_26</t>
  </si>
  <si>
    <t>LKI2_26_L001_R1_001.fastq.gz</t>
  </si>
  <si>
    <t>LKI3</t>
  </si>
  <si>
    <t>LKI_3</t>
  </si>
  <si>
    <t>LKI3_39</t>
  </si>
  <si>
    <t>LKI3_39_L001_R1_001.fastq.gz</t>
  </si>
  <si>
    <t>LPG1</t>
  </si>
  <si>
    <t>Lagoon Playa Grande</t>
  </si>
  <si>
    <t>LPG_1</t>
  </si>
  <si>
    <t>LPG1_23</t>
  </si>
  <si>
    <t>LPG1_23_L001_R1_001.fastq.gz</t>
  </si>
  <si>
    <t>LPG2</t>
  </si>
  <si>
    <t>LPG_2</t>
  </si>
  <si>
    <t>LPG2_41</t>
  </si>
  <si>
    <t>LPG2_41_L001_R1_001.fastq.gz</t>
  </si>
  <si>
    <t>LPG3</t>
  </si>
  <si>
    <t>LPG_3</t>
  </si>
  <si>
    <t>LPG3_15</t>
  </si>
  <si>
    <t>LPG3_15_L001_R1_001.fastq.gz</t>
  </si>
  <si>
    <t>MB1</t>
  </si>
  <si>
    <t>Mosquito bay</t>
  </si>
  <si>
    <t>MB_1</t>
  </si>
  <si>
    <t>MB1_36</t>
  </si>
  <si>
    <t>MB1_36_L001_R1_001.fastq.gz</t>
  </si>
  <si>
    <t>MB2</t>
  </si>
  <si>
    <t>MB_2</t>
  </si>
  <si>
    <t>MB2_34</t>
  </si>
  <si>
    <t>MB2_34_L001_R1_001.fastq.gz</t>
  </si>
  <si>
    <t>SLS1</t>
  </si>
  <si>
    <t>Sombe Lagoon</t>
  </si>
  <si>
    <t>SLSB_1</t>
  </si>
  <si>
    <t>SLS1_42</t>
  </si>
  <si>
    <t>SLS1_42_L001_R1_001.fastq.gz</t>
  </si>
  <si>
    <t>SLS2</t>
  </si>
  <si>
    <t>SLSB_2</t>
  </si>
  <si>
    <t>SLS2_28</t>
  </si>
  <si>
    <t>SLS2_28_L001_R1_001.fastq.gz</t>
  </si>
  <si>
    <t>SLS3</t>
  </si>
  <si>
    <t>SLSB_3</t>
  </si>
  <si>
    <t>SLS3_3</t>
  </si>
  <si>
    <t>SLS3_3_L001_R1_001.fastq.gz</t>
  </si>
  <si>
    <t>Percent Org Total</t>
  </si>
  <si>
    <t>Site  abbreviation</t>
  </si>
  <si>
    <t>Cu (mg/Kg)</t>
  </si>
  <si>
    <t>Ni (mg/Kg)</t>
  </si>
  <si>
    <t>Zn (mg/Kg)</t>
  </si>
  <si>
    <t>Co (mg/Kg)</t>
  </si>
  <si>
    <t>LKI1</t>
  </si>
  <si>
    <t>SLSB1</t>
  </si>
  <si>
    <t>SLSB2</t>
  </si>
  <si>
    <t>SLSB3</t>
  </si>
  <si>
    <t>Richness</t>
  </si>
  <si>
    <t>PCoA1</t>
  </si>
  <si>
    <t>PCoA2</t>
  </si>
  <si>
    <t>Very High Mortality</t>
  </si>
  <si>
    <t>High Mortality</t>
  </si>
  <si>
    <t>Moderate Mortality</t>
  </si>
  <si>
    <t>Low Mortality</t>
  </si>
  <si>
    <t>Mortality_100._96hrs</t>
  </si>
  <si>
    <t>Mortality.10._24hrs</t>
  </si>
  <si>
    <t>Tox_Category</t>
  </si>
  <si>
    <t xml:space="preserve">Tox_Rank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</si>
</sst>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">
    <xf numFmtId="0" fontId="0" fillId="0" borderId="0" xfId="0"/>
    <xf numFmtId="10" fontId="0" fillId="0" borderId="0" xfId="0" applyNumberFormat="1"/>
    <xf numFmtId="0" fontId="1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AD3661-D0DC-4796-AC08-FCD2EE768900}">
  <dimension ref="A1:AG30"/>
  <sheetViews>
    <sheetView tabSelected="1" zoomScale="104" workbookViewId="0">
      <selection activeCell="E1" sqref="E1"/>
    </sheetView>
  </sheetViews>
  <sheetFormatPr defaultRowHeight="14.4" x14ac:dyDescent="0.3"/>
  <cols>
    <col min="4" max="4" width="15.109375" customWidth="1"/>
    <col min="5" max="5" width="12.88671875" customWidth="1"/>
    <col min="6" max="6" width="15.88671875" customWidth="1"/>
    <col min="8" max="8" width="9" bestFit="1" customWidth="1"/>
    <col min="9" max="11" width="10" bestFit="1" customWidth="1"/>
    <col min="12" max="12" width="10.6640625" bestFit="1" customWidth="1"/>
    <col min="13" max="13" width="12.6640625" bestFit="1" customWidth="1"/>
    <col min="14" max="14" width="9.109375" bestFit="1" customWidth="1"/>
    <col min="15" max="15" width="12" bestFit="1" customWidth="1"/>
    <col min="16" max="16" width="13.6640625" customWidth="1"/>
    <col min="19" max="20" width="17.88671875" customWidth="1"/>
    <col min="21" max="22" width="16.44140625" customWidth="1"/>
    <col min="23" max="23" width="15.33203125" customWidth="1"/>
    <col min="28" max="28" width="9.109375" bestFit="1" customWidth="1"/>
    <col min="30" max="33" width="9" bestFit="1" customWidth="1"/>
  </cols>
  <sheetData>
    <row r="1" spans="1:33" ht="15" thickBot="1" x14ac:dyDescent="0.35">
      <c r="A1" t="s">
        <v>3</v>
      </c>
      <c r="B1" t="s">
        <v>0</v>
      </c>
      <c r="C1" t="s">
        <v>1</v>
      </c>
      <c r="D1" t="s">
        <v>2</v>
      </c>
      <c r="E1" t="s">
        <v>167</v>
      </c>
      <c r="F1" s="2" t="s">
        <v>166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158</v>
      </c>
      <c r="M1" t="s">
        <v>159</v>
      </c>
      <c r="N1" t="s">
        <v>157</v>
      </c>
      <c r="O1" t="s">
        <v>9</v>
      </c>
      <c r="P1" t="s">
        <v>10</v>
      </c>
      <c r="Q1" t="s">
        <v>11</v>
      </c>
      <c r="R1" t="s">
        <v>12</v>
      </c>
      <c r="S1" t="s">
        <v>13</v>
      </c>
      <c r="T1" t="s">
        <v>164</v>
      </c>
      <c r="U1" t="s">
        <v>14</v>
      </c>
      <c r="V1" t="s">
        <v>165</v>
      </c>
      <c r="W1" t="s">
        <v>15</v>
      </c>
      <c r="Y1" t="s">
        <v>16</v>
      </c>
      <c r="AB1" t="s">
        <v>147</v>
      </c>
      <c r="AC1" t="s">
        <v>148</v>
      </c>
      <c r="AD1" t="s">
        <v>149</v>
      </c>
      <c r="AE1" t="s">
        <v>150</v>
      </c>
      <c r="AF1" t="s">
        <v>151</v>
      </c>
      <c r="AG1" t="s">
        <v>152</v>
      </c>
    </row>
    <row r="2" spans="1:33" ht="27.6" thickBot="1" x14ac:dyDescent="0.35">
      <c r="A2">
        <v>1</v>
      </c>
      <c r="B2" t="s">
        <v>86</v>
      </c>
      <c r="C2" t="s">
        <v>86</v>
      </c>
      <c r="D2" t="s">
        <v>87</v>
      </c>
      <c r="E2">
        <v>5</v>
      </c>
      <c r="F2" s="2" t="s">
        <v>160</v>
      </c>
      <c r="G2" t="s">
        <v>88</v>
      </c>
      <c r="H2">
        <v>79</v>
      </c>
      <c r="I2">
        <v>79</v>
      </c>
      <c r="J2">
        <v>0.49682536500000002</v>
      </c>
      <c r="K2">
        <v>3.2369714169999999</v>
      </c>
      <c r="L2">
        <v>-0.28464683699999999</v>
      </c>
      <c r="M2">
        <v>-0.40720663600000001</v>
      </c>
      <c r="N2">
        <v>79</v>
      </c>
      <c r="O2">
        <v>0.92373698999999998</v>
      </c>
      <c r="P2">
        <v>14</v>
      </c>
      <c r="Q2" t="s">
        <v>20</v>
      </c>
      <c r="R2" t="s">
        <v>89</v>
      </c>
      <c r="S2">
        <v>0</v>
      </c>
      <c r="T2">
        <f>100-S2</f>
        <v>100</v>
      </c>
      <c r="U2">
        <v>58</v>
      </c>
      <c r="V2">
        <f>100-U2</f>
        <v>42</v>
      </c>
      <c r="W2" t="s">
        <v>22</v>
      </c>
      <c r="Y2" t="s">
        <v>90</v>
      </c>
      <c r="AB2" s="1">
        <v>0.3266</v>
      </c>
      <c r="AC2" t="s">
        <v>86</v>
      </c>
      <c r="AD2">
        <v>4</v>
      </c>
      <c r="AE2">
        <v>1.3</v>
      </c>
      <c r="AF2">
        <v>20</v>
      </c>
      <c r="AG2">
        <v>0.8</v>
      </c>
    </row>
    <row r="3" spans="1:33" ht="27.6" thickBot="1" x14ac:dyDescent="0.35">
      <c r="A3">
        <v>1</v>
      </c>
      <c r="B3" t="s">
        <v>91</v>
      </c>
      <c r="C3" t="s">
        <v>91</v>
      </c>
      <c r="D3" t="s">
        <v>87</v>
      </c>
      <c r="E3">
        <v>1</v>
      </c>
      <c r="F3" s="2" t="s">
        <v>160</v>
      </c>
      <c r="G3" t="s">
        <v>92</v>
      </c>
      <c r="H3">
        <v>147</v>
      </c>
      <c r="I3">
        <v>154.65</v>
      </c>
      <c r="J3">
        <v>4.9200190350000002</v>
      </c>
      <c r="K3">
        <v>0.99756866799999999</v>
      </c>
      <c r="L3">
        <v>0.52622137999999996</v>
      </c>
      <c r="M3">
        <v>-0.13917195500000001</v>
      </c>
      <c r="N3">
        <v>145</v>
      </c>
      <c r="O3">
        <v>0.24877992500000001</v>
      </c>
      <c r="P3">
        <v>15</v>
      </c>
      <c r="Q3" t="s">
        <v>26</v>
      </c>
      <c r="R3" t="s">
        <v>93</v>
      </c>
      <c r="S3">
        <v>0</v>
      </c>
      <c r="T3">
        <f t="shared" ref="T3:T30" si="0">100-S3</f>
        <v>100</v>
      </c>
      <c r="U3">
        <v>0</v>
      </c>
      <c r="V3">
        <f t="shared" ref="V3:V30" si="1">100-U3</f>
        <v>100</v>
      </c>
      <c r="W3">
        <v>75</v>
      </c>
      <c r="Y3" t="s">
        <v>94</v>
      </c>
      <c r="AB3" s="1">
        <v>0.32779999999999998</v>
      </c>
      <c r="AC3" t="s">
        <v>91</v>
      </c>
      <c r="AD3">
        <v>2</v>
      </c>
      <c r="AE3">
        <v>0.6</v>
      </c>
      <c r="AF3">
        <v>3</v>
      </c>
      <c r="AG3">
        <v>1</v>
      </c>
    </row>
    <row r="4" spans="1:33" ht="27.6" thickBot="1" x14ac:dyDescent="0.35">
      <c r="A4">
        <v>1</v>
      </c>
      <c r="B4" t="s">
        <v>95</v>
      </c>
      <c r="C4" t="s">
        <v>95</v>
      </c>
      <c r="D4" t="s">
        <v>87</v>
      </c>
      <c r="E4">
        <v>1</v>
      </c>
      <c r="F4" s="2" t="s">
        <v>160</v>
      </c>
      <c r="G4" t="s">
        <v>96</v>
      </c>
      <c r="H4">
        <v>67</v>
      </c>
      <c r="I4">
        <v>70</v>
      </c>
      <c r="J4">
        <v>3.4175178960000001</v>
      </c>
      <c r="K4">
        <v>0.54504912900000002</v>
      </c>
      <c r="L4">
        <v>0.54920811800000002</v>
      </c>
      <c r="M4">
        <v>-0.19272665</v>
      </c>
      <c r="N4">
        <v>69</v>
      </c>
      <c r="O4">
        <v>0.142343948</v>
      </c>
      <c r="P4">
        <v>16</v>
      </c>
      <c r="Q4" t="s">
        <v>31</v>
      </c>
      <c r="R4" t="s">
        <v>97</v>
      </c>
      <c r="S4">
        <v>0</v>
      </c>
      <c r="T4">
        <f t="shared" si="0"/>
        <v>100</v>
      </c>
      <c r="U4">
        <v>0</v>
      </c>
      <c r="V4">
        <f t="shared" si="1"/>
        <v>100</v>
      </c>
      <c r="W4">
        <v>70</v>
      </c>
      <c r="Y4" t="s">
        <v>98</v>
      </c>
      <c r="AB4" s="1">
        <v>0.29020000000000001</v>
      </c>
      <c r="AC4" t="s">
        <v>95</v>
      </c>
      <c r="AD4">
        <v>1</v>
      </c>
      <c r="AE4">
        <v>0.3</v>
      </c>
      <c r="AF4">
        <v>2</v>
      </c>
      <c r="AG4">
        <v>0.2</v>
      </c>
    </row>
    <row r="5" spans="1:33" ht="15" thickBot="1" x14ac:dyDescent="0.35">
      <c r="A5">
        <v>1</v>
      </c>
      <c r="B5" t="s">
        <v>99</v>
      </c>
      <c r="C5" t="s">
        <v>99</v>
      </c>
      <c r="D5" t="s">
        <v>100</v>
      </c>
      <c r="E5">
        <v>15</v>
      </c>
      <c r="F5" s="2" t="s">
        <v>161</v>
      </c>
      <c r="G5" t="s">
        <v>101</v>
      </c>
      <c r="H5">
        <v>131</v>
      </c>
      <c r="I5">
        <v>131</v>
      </c>
      <c r="J5">
        <v>9.9617589000000006E-2</v>
      </c>
      <c r="K5">
        <v>4.1330079519999998</v>
      </c>
      <c r="L5">
        <v>-0.17994880599999999</v>
      </c>
      <c r="M5">
        <v>-0.233872318</v>
      </c>
      <c r="N5">
        <v>131</v>
      </c>
      <c r="O5">
        <v>0.96626545900000005</v>
      </c>
      <c r="P5">
        <v>17</v>
      </c>
      <c r="Q5" t="s">
        <v>20</v>
      </c>
      <c r="R5" t="s">
        <v>102</v>
      </c>
      <c r="S5">
        <v>5</v>
      </c>
      <c r="T5">
        <f t="shared" si="0"/>
        <v>95</v>
      </c>
      <c r="U5">
        <v>95</v>
      </c>
      <c r="V5">
        <f t="shared" si="1"/>
        <v>5</v>
      </c>
      <c r="W5" t="s">
        <v>22</v>
      </c>
      <c r="Y5" t="s">
        <v>103</v>
      </c>
      <c r="AB5" s="1">
        <v>0.1173</v>
      </c>
      <c r="AC5" t="s">
        <v>153</v>
      </c>
      <c r="AD5">
        <v>17</v>
      </c>
      <c r="AE5">
        <v>2</v>
      </c>
      <c r="AF5">
        <v>17</v>
      </c>
      <c r="AG5">
        <v>0.3</v>
      </c>
    </row>
    <row r="6" spans="1:33" ht="27.6" thickBot="1" x14ac:dyDescent="0.35">
      <c r="A6">
        <v>1</v>
      </c>
      <c r="B6" t="s">
        <v>104</v>
      </c>
      <c r="C6" t="s">
        <v>104</v>
      </c>
      <c r="D6" t="s">
        <v>100</v>
      </c>
      <c r="E6">
        <v>20</v>
      </c>
      <c r="F6" s="2" t="s">
        <v>162</v>
      </c>
      <c r="G6" t="s">
        <v>105</v>
      </c>
      <c r="H6">
        <v>139</v>
      </c>
      <c r="I6">
        <v>142.33333329999999</v>
      </c>
      <c r="J6">
        <v>4.126245956</v>
      </c>
      <c r="K6">
        <v>4.0565270460000002</v>
      </c>
      <c r="L6">
        <v>-0.301529881</v>
      </c>
      <c r="M6">
        <v>-0.391140502</v>
      </c>
      <c r="N6">
        <v>137</v>
      </c>
      <c r="O6">
        <v>0.96968629200000001</v>
      </c>
      <c r="P6">
        <v>18</v>
      </c>
      <c r="Q6" t="s">
        <v>26</v>
      </c>
      <c r="R6" t="s">
        <v>106</v>
      </c>
      <c r="S6">
        <v>65</v>
      </c>
      <c r="T6">
        <f t="shared" si="0"/>
        <v>35</v>
      </c>
      <c r="U6">
        <v>80</v>
      </c>
      <c r="V6">
        <f t="shared" si="1"/>
        <v>20</v>
      </c>
      <c r="W6" t="s">
        <v>22</v>
      </c>
      <c r="Y6" t="s">
        <v>107</v>
      </c>
      <c r="AB6" s="1">
        <v>0.27579999999999999</v>
      </c>
      <c r="AC6" t="s">
        <v>104</v>
      </c>
      <c r="AD6">
        <v>18</v>
      </c>
      <c r="AE6">
        <v>3.4</v>
      </c>
      <c r="AF6">
        <v>27</v>
      </c>
      <c r="AG6">
        <v>9</v>
      </c>
    </row>
    <row r="7" spans="1:33" ht="15" thickBot="1" x14ac:dyDescent="0.35">
      <c r="A7">
        <v>1</v>
      </c>
      <c r="B7" t="s">
        <v>108</v>
      </c>
      <c r="C7" t="s">
        <v>108</v>
      </c>
      <c r="D7" t="s">
        <v>100</v>
      </c>
      <c r="E7">
        <v>28</v>
      </c>
      <c r="F7" s="2" t="s">
        <v>163</v>
      </c>
      <c r="G7" t="s">
        <v>109</v>
      </c>
      <c r="H7">
        <v>37</v>
      </c>
      <c r="I7">
        <v>37</v>
      </c>
      <c r="J7">
        <v>0</v>
      </c>
      <c r="K7">
        <v>2.3139640990000001</v>
      </c>
      <c r="L7">
        <v>-0.26041824699999999</v>
      </c>
      <c r="M7">
        <v>-0.35200378900000001</v>
      </c>
      <c r="N7">
        <v>37</v>
      </c>
      <c r="O7">
        <v>0.72690624000000004</v>
      </c>
      <c r="P7">
        <v>19</v>
      </c>
      <c r="Q7" t="s">
        <v>31</v>
      </c>
      <c r="R7" t="s">
        <v>110</v>
      </c>
      <c r="S7">
        <v>90</v>
      </c>
      <c r="T7">
        <f t="shared" si="0"/>
        <v>10</v>
      </c>
      <c r="U7">
        <v>85</v>
      </c>
      <c r="V7">
        <f t="shared" si="1"/>
        <v>15</v>
      </c>
      <c r="W7" t="s">
        <v>22</v>
      </c>
      <c r="Y7" t="s">
        <v>111</v>
      </c>
      <c r="AB7" s="1">
        <v>0.2225</v>
      </c>
      <c r="AC7" t="s">
        <v>108</v>
      </c>
      <c r="AD7">
        <v>27</v>
      </c>
      <c r="AE7">
        <v>7.3</v>
      </c>
      <c r="AF7">
        <v>41</v>
      </c>
      <c r="AG7">
        <v>11</v>
      </c>
    </row>
    <row r="8" spans="1:33" ht="15" thickBot="1" x14ac:dyDescent="0.35">
      <c r="A8">
        <v>1</v>
      </c>
      <c r="B8" t="s">
        <v>112</v>
      </c>
      <c r="C8" t="s">
        <v>112</v>
      </c>
      <c r="D8" t="s">
        <v>113</v>
      </c>
      <c r="E8">
        <v>13</v>
      </c>
      <c r="F8" s="2" t="s">
        <v>161</v>
      </c>
      <c r="G8" t="s">
        <v>114</v>
      </c>
      <c r="H8">
        <v>78</v>
      </c>
      <c r="I8">
        <v>78</v>
      </c>
      <c r="J8">
        <v>0</v>
      </c>
      <c r="K8">
        <v>3.3466825409999998</v>
      </c>
      <c r="L8">
        <v>-0.27364450499999998</v>
      </c>
      <c r="M8">
        <v>-0.30254505300000001</v>
      </c>
      <c r="N8">
        <v>78</v>
      </c>
      <c r="O8">
        <v>0.92228387099999998</v>
      </c>
      <c r="P8">
        <v>21</v>
      </c>
      <c r="Q8" t="s">
        <v>20</v>
      </c>
      <c r="R8" t="s">
        <v>115</v>
      </c>
      <c r="S8">
        <v>3</v>
      </c>
      <c r="T8">
        <f t="shared" si="0"/>
        <v>97</v>
      </c>
      <c r="U8">
        <v>78</v>
      </c>
      <c r="V8">
        <f t="shared" si="1"/>
        <v>22</v>
      </c>
      <c r="W8" t="s">
        <v>22</v>
      </c>
      <c r="Y8" t="s">
        <v>116</v>
      </c>
      <c r="AB8" s="1">
        <v>6.2399999999999997E-2</v>
      </c>
      <c r="AC8" t="s">
        <v>112</v>
      </c>
      <c r="AD8">
        <v>8</v>
      </c>
      <c r="AE8">
        <v>1.5</v>
      </c>
      <c r="AF8">
        <v>6.5</v>
      </c>
      <c r="AG8">
        <v>3</v>
      </c>
    </row>
    <row r="9" spans="1:33" ht="15" thickBot="1" x14ac:dyDescent="0.35">
      <c r="A9">
        <v>1</v>
      </c>
      <c r="B9" t="s">
        <v>117</v>
      </c>
      <c r="C9" t="s">
        <v>117</v>
      </c>
      <c r="D9" t="s">
        <v>113</v>
      </c>
      <c r="E9">
        <v>10</v>
      </c>
      <c r="F9" s="2" t="s">
        <v>161</v>
      </c>
      <c r="G9" t="s">
        <v>118</v>
      </c>
      <c r="H9">
        <v>49</v>
      </c>
      <c r="I9">
        <v>49</v>
      </c>
      <c r="J9">
        <v>0.49487165900000002</v>
      </c>
      <c r="K9">
        <v>2.2620185249999998</v>
      </c>
      <c r="L9">
        <v>-0.293979977</v>
      </c>
      <c r="M9">
        <v>-0.431801086</v>
      </c>
      <c r="N9">
        <v>49</v>
      </c>
      <c r="O9">
        <v>0.70561002799999994</v>
      </c>
      <c r="P9">
        <v>22</v>
      </c>
      <c r="Q9" t="s">
        <v>26</v>
      </c>
      <c r="R9" t="s">
        <v>119</v>
      </c>
      <c r="S9">
        <v>0</v>
      </c>
      <c r="T9">
        <f t="shared" si="0"/>
        <v>100</v>
      </c>
      <c r="U9">
        <v>85</v>
      </c>
      <c r="V9">
        <f t="shared" si="1"/>
        <v>15</v>
      </c>
      <c r="W9" t="s">
        <v>22</v>
      </c>
      <c r="Y9" t="s">
        <v>120</v>
      </c>
      <c r="AB9" s="1">
        <v>0.21779999999999999</v>
      </c>
      <c r="AC9" t="s">
        <v>117</v>
      </c>
      <c r="AD9">
        <v>40</v>
      </c>
      <c r="AE9">
        <v>4.2</v>
      </c>
      <c r="AF9">
        <v>57.6</v>
      </c>
      <c r="AG9">
        <v>5</v>
      </c>
    </row>
    <row r="10" spans="1:33" ht="27.6" thickBot="1" x14ac:dyDescent="0.35">
      <c r="A10">
        <v>1</v>
      </c>
      <c r="B10" t="s">
        <v>121</v>
      </c>
      <c r="C10" t="s">
        <v>121</v>
      </c>
      <c r="D10" t="s">
        <v>113</v>
      </c>
      <c r="E10">
        <v>23</v>
      </c>
      <c r="F10" s="2" t="s">
        <v>162</v>
      </c>
      <c r="G10" t="s">
        <v>122</v>
      </c>
      <c r="H10">
        <v>143</v>
      </c>
      <c r="I10">
        <v>149.5</v>
      </c>
      <c r="J10">
        <v>4.7237626260000001</v>
      </c>
      <c r="K10">
        <v>1.0785237409999999</v>
      </c>
      <c r="L10">
        <v>0.52867224599999996</v>
      </c>
      <c r="M10">
        <v>-0.13219623</v>
      </c>
      <c r="N10">
        <v>141</v>
      </c>
      <c r="O10">
        <v>0.27388056399999999</v>
      </c>
      <c r="P10">
        <v>23</v>
      </c>
      <c r="Q10" t="s">
        <v>31</v>
      </c>
      <c r="R10" t="s">
        <v>123</v>
      </c>
      <c r="S10">
        <v>80</v>
      </c>
      <c r="T10">
        <f t="shared" si="0"/>
        <v>20</v>
      </c>
      <c r="U10">
        <v>100</v>
      </c>
      <c r="V10">
        <f t="shared" si="1"/>
        <v>0</v>
      </c>
      <c r="W10" t="s">
        <v>22</v>
      </c>
      <c r="Y10" t="s">
        <v>124</v>
      </c>
      <c r="AB10" s="1">
        <v>1.04E-2</v>
      </c>
      <c r="AC10" t="s">
        <v>121</v>
      </c>
      <c r="AD10">
        <v>2</v>
      </c>
      <c r="AE10">
        <v>2.1</v>
      </c>
      <c r="AF10">
        <v>0</v>
      </c>
      <c r="AG10">
        <v>2</v>
      </c>
    </row>
    <row r="11" spans="1:33" ht="27.6" thickBot="1" x14ac:dyDescent="0.35">
      <c r="A11">
        <v>2</v>
      </c>
      <c r="B11" t="s">
        <v>34</v>
      </c>
      <c r="C11" t="s">
        <v>34</v>
      </c>
      <c r="D11" t="s">
        <v>35</v>
      </c>
      <c r="E11">
        <v>21</v>
      </c>
      <c r="F11" s="2" t="s">
        <v>162</v>
      </c>
      <c r="G11" t="s">
        <v>36</v>
      </c>
      <c r="H11">
        <v>517</v>
      </c>
      <c r="I11">
        <v>521.46808510000005</v>
      </c>
      <c r="J11">
        <v>2.9797228150000001</v>
      </c>
      <c r="K11">
        <v>5.4102774900000004</v>
      </c>
      <c r="L11">
        <v>-0.18479918200000001</v>
      </c>
      <c r="M11">
        <v>8.698206E-2</v>
      </c>
      <c r="N11">
        <v>512</v>
      </c>
      <c r="O11">
        <v>0.98842978500000001</v>
      </c>
      <c r="P11">
        <v>4</v>
      </c>
      <c r="Q11" t="s">
        <v>20</v>
      </c>
      <c r="R11" t="s">
        <v>37</v>
      </c>
      <c r="S11">
        <v>70</v>
      </c>
      <c r="T11">
        <f t="shared" si="0"/>
        <v>30</v>
      </c>
      <c r="U11">
        <v>90</v>
      </c>
      <c r="V11">
        <f t="shared" si="1"/>
        <v>10</v>
      </c>
      <c r="W11" t="s">
        <v>22</v>
      </c>
      <c r="Y11" t="s">
        <v>38</v>
      </c>
      <c r="AB11" s="1">
        <v>2.3199999999999998E-2</v>
      </c>
      <c r="AC11" t="s">
        <v>34</v>
      </c>
      <c r="AD11">
        <v>7</v>
      </c>
      <c r="AE11">
        <v>3.8</v>
      </c>
      <c r="AF11">
        <v>7</v>
      </c>
      <c r="AG11">
        <v>2</v>
      </c>
    </row>
    <row r="12" spans="1:33" ht="27.6" thickBot="1" x14ac:dyDescent="0.35">
      <c r="A12">
        <v>2</v>
      </c>
      <c r="B12" t="s">
        <v>39</v>
      </c>
      <c r="C12" t="s">
        <v>39</v>
      </c>
      <c r="D12" t="s">
        <v>35</v>
      </c>
      <c r="E12">
        <v>22</v>
      </c>
      <c r="F12" s="2" t="s">
        <v>162</v>
      </c>
      <c r="G12" t="s">
        <v>40</v>
      </c>
      <c r="H12">
        <v>567</v>
      </c>
      <c r="I12">
        <v>636.84269659999995</v>
      </c>
      <c r="J12">
        <v>17.315315200000001</v>
      </c>
      <c r="K12">
        <v>4.792736798</v>
      </c>
      <c r="L12">
        <v>-0.12786750799999999</v>
      </c>
      <c r="M12">
        <v>0.40162810300000001</v>
      </c>
      <c r="N12">
        <v>572</v>
      </c>
      <c r="O12">
        <v>0.97244119600000001</v>
      </c>
      <c r="P12">
        <v>5</v>
      </c>
      <c r="Q12" t="s">
        <v>26</v>
      </c>
      <c r="R12" t="s">
        <v>41</v>
      </c>
      <c r="S12">
        <v>75</v>
      </c>
      <c r="T12">
        <f t="shared" si="0"/>
        <v>25</v>
      </c>
      <c r="U12">
        <v>93</v>
      </c>
      <c r="V12">
        <f t="shared" si="1"/>
        <v>7</v>
      </c>
      <c r="W12" t="s">
        <v>22</v>
      </c>
      <c r="Y12" t="s">
        <v>42</v>
      </c>
      <c r="AB12" s="1">
        <v>2.3900000000000001E-2</v>
      </c>
      <c r="AC12" t="s">
        <v>39</v>
      </c>
      <c r="AD12">
        <v>3.4</v>
      </c>
      <c r="AE12">
        <v>2.2999999999999998</v>
      </c>
      <c r="AF12">
        <v>1</v>
      </c>
      <c r="AG12">
        <v>6</v>
      </c>
    </row>
    <row r="13" spans="1:33" ht="27.6" thickBot="1" x14ac:dyDescent="0.35">
      <c r="A13">
        <v>2</v>
      </c>
      <c r="B13" t="s">
        <v>43</v>
      </c>
      <c r="C13" t="s">
        <v>43</v>
      </c>
      <c r="D13" t="s">
        <v>35</v>
      </c>
      <c r="E13">
        <v>17</v>
      </c>
      <c r="F13" s="2" t="s">
        <v>162</v>
      </c>
      <c r="G13" t="s">
        <v>44</v>
      </c>
      <c r="H13">
        <v>728</v>
      </c>
      <c r="I13">
        <v>819.8833333</v>
      </c>
      <c r="J13">
        <v>19.7440824</v>
      </c>
      <c r="K13">
        <v>5.3463378710000002</v>
      </c>
      <c r="L13">
        <v>-0.172892661</v>
      </c>
      <c r="M13">
        <v>0.306445941</v>
      </c>
      <c r="N13">
        <v>744</v>
      </c>
      <c r="O13">
        <v>0.98562690100000006</v>
      </c>
      <c r="P13">
        <v>6</v>
      </c>
      <c r="Q13" t="s">
        <v>31</v>
      </c>
      <c r="R13" t="s">
        <v>45</v>
      </c>
      <c r="S13">
        <v>58</v>
      </c>
      <c r="T13">
        <f t="shared" si="0"/>
        <v>42</v>
      </c>
      <c r="U13">
        <v>85</v>
      </c>
      <c r="V13">
        <f t="shared" si="1"/>
        <v>15</v>
      </c>
      <c r="W13" t="s">
        <v>22</v>
      </c>
      <c r="Y13" t="s">
        <v>46</v>
      </c>
      <c r="AB13" s="1">
        <v>1.8599999999999998E-2</v>
      </c>
      <c r="AC13" t="s">
        <v>43</v>
      </c>
      <c r="AD13">
        <v>1.3</v>
      </c>
      <c r="AE13">
        <v>1.6</v>
      </c>
      <c r="AF13">
        <v>0</v>
      </c>
      <c r="AG13">
        <v>1</v>
      </c>
    </row>
    <row r="14" spans="1:33" ht="15" thickBot="1" x14ac:dyDescent="0.35">
      <c r="A14">
        <v>2</v>
      </c>
      <c r="B14" t="s">
        <v>125</v>
      </c>
      <c r="C14" t="s">
        <v>125</v>
      </c>
      <c r="D14" t="s">
        <v>126</v>
      </c>
      <c r="E14">
        <v>9</v>
      </c>
      <c r="F14" s="2" t="s">
        <v>161</v>
      </c>
      <c r="G14" t="s">
        <v>127</v>
      </c>
      <c r="H14">
        <v>314</v>
      </c>
      <c r="I14">
        <v>315.33333329999999</v>
      </c>
      <c r="J14">
        <v>1.560180052</v>
      </c>
      <c r="K14">
        <v>4.5389217530000003</v>
      </c>
      <c r="L14">
        <v>-0.184045653</v>
      </c>
      <c r="M14">
        <v>6.0919429999999998E-3</v>
      </c>
      <c r="N14">
        <v>308</v>
      </c>
      <c r="O14">
        <v>0.966222252</v>
      </c>
      <c r="P14">
        <v>24</v>
      </c>
      <c r="Q14" t="s">
        <v>20</v>
      </c>
      <c r="R14" t="s">
        <v>128</v>
      </c>
      <c r="S14">
        <v>60</v>
      </c>
      <c r="T14">
        <f t="shared" si="0"/>
        <v>40</v>
      </c>
      <c r="U14">
        <v>80</v>
      </c>
      <c r="V14">
        <f t="shared" si="1"/>
        <v>20</v>
      </c>
      <c r="W14" t="s">
        <v>22</v>
      </c>
      <c r="Y14" t="s">
        <v>129</v>
      </c>
      <c r="AB14" s="1">
        <v>3.95E-2</v>
      </c>
      <c r="AC14" t="s">
        <v>125</v>
      </c>
      <c r="AD14">
        <v>12</v>
      </c>
      <c r="AE14">
        <v>4.0999999999999996</v>
      </c>
      <c r="AF14">
        <v>8</v>
      </c>
      <c r="AG14">
        <v>0.5</v>
      </c>
    </row>
    <row r="15" spans="1:33" ht="15" thickBot="1" x14ac:dyDescent="0.35">
      <c r="A15">
        <v>2</v>
      </c>
      <c r="B15" t="s">
        <v>130</v>
      </c>
      <c r="C15" t="s">
        <v>130</v>
      </c>
      <c r="D15" t="s">
        <v>126</v>
      </c>
      <c r="E15">
        <v>9</v>
      </c>
      <c r="F15" s="2" t="s">
        <v>161</v>
      </c>
      <c r="G15" t="s">
        <v>131</v>
      </c>
      <c r="H15">
        <v>211</v>
      </c>
      <c r="I15">
        <v>213.5</v>
      </c>
      <c r="J15">
        <v>2.8992734429999998</v>
      </c>
      <c r="K15">
        <v>4.6524002470000001</v>
      </c>
      <c r="L15">
        <v>-0.15706488699999999</v>
      </c>
      <c r="M15">
        <v>-0.11953593999999999</v>
      </c>
      <c r="N15">
        <v>214</v>
      </c>
      <c r="O15">
        <v>0.98365449699999996</v>
      </c>
      <c r="P15">
        <v>25</v>
      </c>
      <c r="Q15" t="s">
        <v>26</v>
      </c>
      <c r="R15" t="s">
        <v>132</v>
      </c>
      <c r="S15">
        <v>0</v>
      </c>
      <c r="T15">
        <f t="shared" si="0"/>
        <v>100</v>
      </c>
      <c r="U15">
        <v>58</v>
      </c>
      <c r="V15">
        <f t="shared" si="1"/>
        <v>42</v>
      </c>
      <c r="W15" t="s">
        <v>22</v>
      </c>
      <c r="Y15" t="s">
        <v>133</v>
      </c>
      <c r="AB15" s="1">
        <v>0.13769999999999999</v>
      </c>
      <c r="AC15" t="s">
        <v>130</v>
      </c>
      <c r="AD15">
        <v>14</v>
      </c>
      <c r="AE15">
        <v>3.1</v>
      </c>
      <c r="AF15">
        <v>28</v>
      </c>
      <c r="AG15">
        <v>3</v>
      </c>
    </row>
    <row r="16" spans="1:33" ht="27.6" thickBot="1" x14ac:dyDescent="0.35">
      <c r="A16">
        <v>2</v>
      </c>
      <c r="B16" t="s">
        <v>134</v>
      </c>
      <c r="C16" t="s">
        <v>134</v>
      </c>
      <c r="D16" t="s">
        <v>135</v>
      </c>
      <c r="E16">
        <v>19</v>
      </c>
      <c r="F16" s="2" t="s">
        <v>162</v>
      </c>
      <c r="G16" t="s">
        <v>136</v>
      </c>
      <c r="H16">
        <v>584</v>
      </c>
      <c r="I16">
        <v>647.96551720000002</v>
      </c>
      <c r="J16">
        <v>16.319478960000001</v>
      </c>
      <c r="K16">
        <v>5.2321426149999999</v>
      </c>
      <c r="L16">
        <v>-7.0185425999999995E-2</v>
      </c>
      <c r="M16">
        <v>0.305208861</v>
      </c>
      <c r="N16">
        <v>579</v>
      </c>
      <c r="O16">
        <v>0.98705129899999999</v>
      </c>
      <c r="P16">
        <v>26</v>
      </c>
      <c r="Q16" t="s">
        <v>20</v>
      </c>
      <c r="R16" t="s">
        <v>137</v>
      </c>
      <c r="S16">
        <v>58</v>
      </c>
      <c r="T16">
        <f t="shared" si="0"/>
        <v>42</v>
      </c>
      <c r="U16" t="s">
        <v>22</v>
      </c>
      <c r="V16" t="s">
        <v>22</v>
      </c>
      <c r="W16" t="s">
        <v>22</v>
      </c>
      <c r="Y16" t="s">
        <v>138</v>
      </c>
      <c r="AB16" s="1">
        <v>1.7999999999999999E-2</v>
      </c>
      <c r="AC16" t="s">
        <v>154</v>
      </c>
      <c r="AD16">
        <v>27</v>
      </c>
      <c r="AE16">
        <v>4.2</v>
      </c>
      <c r="AF16">
        <v>2</v>
      </c>
      <c r="AG16">
        <v>4</v>
      </c>
    </row>
    <row r="17" spans="1:33" ht="15" thickBot="1" x14ac:dyDescent="0.35">
      <c r="A17">
        <v>2</v>
      </c>
      <c r="B17" t="s">
        <v>139</v>
      </c>
      <c r="C17" t="s">
        <v>139</v>
      </c>
      <c r="D17" t="s">
        <v>135</v>
      </c>
      <c r="E17">
        <v>10</v>
      </c>
      <c r="F17" s="2" t="s">
        <v>161</v>
      </c>
      <c r="G17" t="s">
        <v>140</v>
      </c>
      <c r="H17">
        <v>225</v>
      </c>
      <c r="I17">
        <v>228.2352941</v>
      </c>
      <c r="J17">
        <v>2.8301941689999999</v>
      </c>
      <c r="K17">
        <v>4.7450504530000002</v>
      </c>
      <c r="L17">
        <v>-0.18359693299999999</v>
      </c>
      <c r="M17">
        <v>7.5397610000000004E-2</v>
      </c>
      <c r="N17">
        <v>226</v>
      </c>
      <c r="O17">
        <v>0.98568183399999998</v>
      </c>
      <c r="P17">
        <v>27</v>
      </c>
      <c r="Q17" t="s">
        <v>26</v>
      </c>
      <c r="R17" t="s">
        <v>141</v>
      </c>
      <c r="S17">
        <v>0</v>
      </c>
      <c r="T17">
        <f t="shared" si="0"/>
        <v>100</v>
      </c>
      <c r="U17">
        <v>77</v>
      </c>
      <c r="V17">
        <f t="shared" si="1"/>
        <v>23</v>
      </c>
      <c r="W17" t="s">
        <v>22</v>
      </c>
      <c r="Y17" t="s">
        <v>142</v>
      </c>
      <c r="AB17" s="1">
        <v>8.6800000000000002E-2</v>
      </c>
      <c r="AC17" t="s">
        <v>155</v>
      </c>
      <c r="AD17">
        <v>48</v>
      </c>
      <c r="AE17">
        <v>2.8</v>
      </c>
      <c r="AF17">
        <v>25</v>
      </c>
      <c r="AG17">
        <v>10.199999999999999</v>
      </c>
    </row>
    <row r="18" spans="1:33" ht="27.6" thickBot="1" x14ac:dyDescent="0.35">
      <c r="A18">
        <v>2</v>
      </c>
      <c r="B18" t="s">
        <v>143</v>
      </c>
      <c r="C18" t="s">
        <v>143</v>
      </c>
      <c r="D18" t="s">
        <v>135</v>
      </c>
      <c r="E18">
        <v>18</v>
      </c>
      <c r="F18" s="2" t="s">
        <v>162</v>
      </c>
      <c r="G18" t="s">
        <v>144</v>
      </c>
      <c r="H18">
        <v>400</v>
      </c>
      <c r="I18">
        <v>432.67857140000001</v>
      </c>
      <c r="J18">
        <v>11.07257946</v>
      </c>
      <c r="K18">
        <v>4.52806628</v>
      </c>
      <c r="L18">
        <v>-0.10558425</v>
      </c>
      <c r="M18">
        <v>0.20310951599999999</v>
      </c>
      <c r="N18">
        <v>405</v>
      </c>
      <c r="O18">
        <v>0.97007636900000005</v>
      </c>
      <c r="P18">
        <v>28</v>
      </c>
      <c r="Q18" t="s">
        <v>31</v>
      </c>
      <c r="R18" t="s">
        <v>145</v>
      </c>
      <c r="S18">
        <v>25</v>
      </c>
      <c r="T18">
        <f t="shared" si="0"/>
        <v>75</v>
      </c>
      <c r="U18">
        <v>90</v>
      </c>
      <c r="V18">
        <f t="shared" si="1"/>
        <v>10</v>
      </c>
      <c r="W18" t="s">
        <v>22</v>
      </c>
      <c r="Y18" t="s">
        <v>146</v>
      </c>
      <c r="AB18" s="1">
        <v>4.3200000000000002E-2</v>
      </c>
      <c r="AC18" t="s">
        <v>156</v>
      </c>
      <c r="AD18">
        <v>11</v>
      </c>
      <c r="AE18">
        <v>1.7</v>
      </c>
      <c r="AF18">
        <v>13</v>
      </c>
      <c r="AG18">
        <v>4.7</v>
      </c>
    </row>
    <row r="19" spans="1:33" ht="15" thickBot="1" x14ac:dyDescent="0.35">
      <c r="A19">
        <v>3</v>
      </c>
      <c r="B19" t="s">
        <v>47</v>
      </c>
      <c r="C19" t="s">
        <v>47</v>
      </c>
      <c r="D19" t="s">
        <v>48</v>
      </c>
      <c r="E19">
        <v>26</v>
      </c>
      <c r="F19" s="2" t="s">
        <v>163</v>
      </c>
      <c r="G19" t="s">
        <v>49</v>
      </c>
      <c r="H19">
        <v>405</v>
      </c>
      <c r="I19">
        <v>427.0153846</v>
      </c>
      <c r="J19">
        <v>8.1202531800000006</v>
      </c>
      <c r="K19">
        <v>3.6658089129999998</v>
      </c>
      <c r="L19">
        <v>0.343287118</v>
      </c>
      <c r="M19">
        <v>-9.0289229999999995E-3</v>
      </c>
      <c r="N19">
        <v>401</v>
      </c>
      <c r="O19">
        <v>0.83980793200000003</v>
      </c>
      <c r="P19">
        <v>7</v>
      </c>
      <c r="Q19" t="s">
        <v>20</v>
      </c>
      <c r="R19" t="s">
        <v>50</v>
      </c>
      <c r="S19">
        <v>88</v>
      </c>
      <c r="T19">
        <f t="shared" si="0"/>
        <v>12</v>
      </c>
      <c r="U19">
        <v>98</v>
      </c>
      <c r="V19">
        <f t="shared" si="1"/>
        <v>2</v>
      </c>
      <c r="W19" t="s">
        <v>22</v>
      </c>
      <c r="Y19" t="s">
        <v>51</v>
      </c>
      <c r="AB19" s="1">
        <v>1.5100000000000001E-2</v>
      </c>
      <c r="AC19" t="s">
        <v>47</v>
      </c>
      <c r="AD19">
        <v>13</v>
      </c>
      <c r="AE19">
        <v>4.8</v>
      </c>
      <c r="AF19">
        <v>35</v>
      </c>
      <c r="AG19">
        <v>6</v>
      </c>
    </row>
    <row r="20" spans="1:33" ht="15" thickBot="1" x14ac:dyDescent="0.35">
      <c r="A20">
        <v>3</v>
      </c>
      <c r="B20" t="s">
        <v>52</v>
      </c>
      <c r="C20" t="s">
        <v>52</v>
      </c>
      <c r="D20" t="s">
        <v>48</v>
      </c>
      <c r="E20">
        <v>26</v>
      </c>
      <c r="F20" s="2" t="s">
        <v>163</v>
      </c>
      <c r="G20" t="s">
        <v>49</v>
      </c>
      <c r="H20">
        <v>215</v>
      </c>
      <c r="I20">
        <v>216.4</v>
      </c>
      <c r="J20">
        <v>1.684015107</v>
      </c>
      <c r="K20">
        <v>3.840842565</v>
      </c>
      <c r="L20">
        <v>-0.29060722900000002</v>
      </c>
      <c r="M20">
        <v>-0.40961818300000002</v>
      </c>
      <c r="N20">
        <v>213</v>
      </c>
      <c r="O20">
        <v>0.93745756899999999</v>
      </c>
      <c r="P20">
        <v>8</v>
      </c>
      <c r="Q20" t="s">
        <v>20</v>
      </c>
      <c r="R20" t="s">
        <v>53</v>
      </c>
      <c r="S20">
        <v>0</v>
      </c>
      <c r="T20">
        <f t="shared" si="0"/>
        <v>100</v>
      </c>
      <c r="U20">
        <v>53</v>
      </c>
      <c r="V20">
        <f t="shared" si="1"/>
        <v>47</v>
      </c>
      <c r="W20" t="s">
        <v>22</v>
      </c>
      <c r="Y20" t="s">
        <v>54</v>
      </c>
      <c r="AB20" s="1">
        <v>1.95E-2</v>
      </c>
      <c r="AC20" t="s">
        <v>52</v>
      </c>
      <c r="AD20">
        <v>12.3</v>
      </c>
      <c r="AE20">
        <v>4.8</v>
      </c>
      <c r="AF20">
        <v>40</v>
      </c>
      <c r="AG20">
        <v>3</v>
      </c>
    </row>
    <row r="21" spans="1:33" ht="15" thickBot="1" x14ac:dyDescent="0.35">
      <c r="A21">
        <v>3</v>
      </c>
      <c r="B21" t="s">
        <v>55</v>
      </c>
      <c r="C21" t="s">
        <v>56</v>
      </c>
      <c r="D21" t="s">
        <v>48</v>
      </c>
      <c r="E21">
        <v>14</v>
      </c>
      <c r="F21" s="2" t="s">
        <v>161</v>
      </c>
      <c r="G21" t="s">
        <v>57</v>
      </c>
      <c r="H21">
        <v>481</v>
      </c>
      <c r="I21">
        <v>578.04166669999995</v>
      </c>
      <c r="J21">
        <v>21.70451903</v>
      </c>
      <c r="K21">
        <v>2.703715657</v>
      </c>
      <c r="L21">
        <v>0.394018384</v>
      </c>
      <c r="M21">
        <v>5.2487500999999999E-2</v>
      </c>
      <c r="N21">
        <v>469</v>
      </c>
      <c r="O21">
        <v>0.640219023</v>
      </c>
      <c r="P21">
        <v>8</v>
      </c>
      <c r="Q21" t="s">
        <v>26</v>
      </c>
      <c r="R21" t="s">
        <v>58</v>
      </c>
      <c r="S21">
        <v>98</v>
      </c>
      <c r="T21">
        <f t="shared" si="0"/>
        <v>2</v>
      </c>
      <c r="U21">
        <v>85</v>
      </c>
      <c r="V21">
        <f t="shared" si="1"/>
        <v>15</v>
      </c>
      <c r="W21" t="s">
        <v>22</v>
      </c>
      <c r="Y21" t="s">
        <v>59</v>
      </c>
      <c r="AB21" s="1">
        <v>2.9700000000000001E-2</v>
      </c>
      <c r="AC21" t="s">
        <v>56</v>
      </c>
      <c r="AD21">
        <v>7.9</v>
      </c>
      <c r="AE21">
        <v>4.0999999999999996</v>
      </c>
      <c r="AF21">
        <v>29</v>
      </c>
      <c r="AG21">
        <v>6</v>
      </c>
    </row>
    <row r="22" spans="1:33" ht="27.6" thickBot="1" x14ac:dyDescent="0.35">
      <c r="A22">
        <v>3</v>
      </c>
      <c r="B22" t="s">
        <v>60</v>
      </c>
      <c r="C22" t="s">
        <v>60</v>
      </c>
      <c r="D22" t="s">
        <v>61</v>
      </c>
      <c r="E22">
        <v>4</v>
      </c>
      <c r="F22" s="2" t="s">
        <v>160</v>
      </c>
      <c r="G22" t="s">
        <v>62</v>
      </c>
      <c r="H22">
        <v>161</v>
      </c>
      <c r="I22">
        <v>178.6470588</v>
      </c>
      <c r="J22">
        <v>9.3164032120000009</v>
      </c>
      <c r="K22">
        <v>0.93565212099999995</v>
      </c>
      <c r="L22">
        <v>0.53950585799999995</v>
      </c>
      <c r="M22">
        <v>-0.124515587</v>
      </c>
      <c r="N22">
        <v>156</v>
      </c>
      <c r="O22">
        <v>0.22954018600000001</v>
      </c>
      <c r="P22">
        <v>9</v>
      </c>
      <c r="Q22" t="s">
        <v>26</v>
      </c>
      <c r="R22" t="s">
        <v>63</v>
      </c>
      <c r="S22">
        <v>0</v>
      </c>
      <c r="T22">
        <f t="shared" si="0"/>
        <v>100</v>
      </c>
      <c r="U22">
        <v>33</v>
      </c>
      <c r="V22">
        <f t="shared" si="1"/>
        <v>67</v>
      </c>
      <c r="W22" t="s">
        <v>22</v>
      </c>
      <c r="Y22" t="s">
        <v>64</v>
      </c>
      <c r="AB22" s="1">
        <v>0.20330000000000001</v>
      </c>
      <c r="AC22" t="s">
        <v>60</v>
      </c>
      <c r="AD22">
        <v>12</v>
      </c>
      <c r="AE22">
        <v>4.2</v>
      </c>
      <c r="AF22">
        <v>2</v>
      </c>
      <c r="AG22">
        <v>2</v>
      </c>
    </row>
    <row r="23" spans="1:33" ht="27.6" thickBot="1" x14ac:dyDescent="0.35">
      <c r="A23">
        <v>3</v>
      </c>
      <c r="B23" t="s">
        <v>65</v>
      </c>
      <c r="C23" t="s">
        <v>65</v>
      </c>
      <c r="D23" t="s">
        <v>61</v>
      </c>
      <c r="E23">
        <v>3</v>
      </c>
      <c r="F23" s="2" t="s">
        <v>160</v>
      </c>
      <c r="G23" t="s">
        <v>66</v>
      </c>
      <c r="H23">
        <v>615</v>
      </c>
      <c r="I23">
        <v>692.27848100000006</v>
      </c>
      <c r="J23">
        <v>19.211422249999998</v>
      </c>
      <c r="K23">
        <v>5.2375358869999999</v>
      </c>
      <c r="L23">
        <v>-0.115887242</v>
      </c>
      <c r="M23">
        <v>0.35211119099999999</v>
      </c>
      <c r="N23">
        <v>620</v>
      </c>
      <c r="O23">
        <v>0.98460474899999995</v>
      </c>
      <c r="P23">
        <v>9</v>
      </c>
      <c r="Q23" t="s">
        <v>31</v>
      </c>
      <c r="R23" t="s">
        <v>67</v>
      </c>
      <c r="S23">
        <v>3</v>
      </c>
      <c r="T23">
        <f t="shared" si="0"/>
        <v>97</v>
      </c>
      <c r="U23">
        <v>93</v>
      </c>
      <c r="V23">
        <f t="shared" si="1"/>
        <v>7</v>
      </c>
      <c r="W23" t="s">
        <v>22</v>
      </c>
      <c r="Y23" t="s">
        <v>68</v>
      </c>
      <c r="AB23" s="1">
        <v>0.20100000000000001</v>
      </c>
      <c r="AC23" t="s">
        <v>65</v>
      </c>
      <c r="AD23">
        <v>14</v>
      </c>
      <c r="AE23">
        <v>4.3</v>
      </c>
      <c r="AF23">
        <v>1.8</v>
      </c>
      <c r="AG23">
        <v>2</v>
      </c>
    </row>
    <row r="24" spans="1:33" ht="27.6" thickBot="1" x14ac:dyDescent="0.35">
      <c r="A24">
        <v>3</v>
      </c>
      <c r="B24" t="s">
        <v>69</v>
      </c>
      <c r="C24" t="s">
        <v>69</v>
      </c>
      <c r="D24" t="s">
        <v>61</v>
      </c>
      <c r="E24">
        <v>8</v>
      </c>
      <c r="F24" s="2" t="s">
        <v>160</v>
      </c>
      <c r="G24" t="s">
        <v>70</v>
      </c>
      <c r="H24">
        <v>550</v>
      </c>
      <c r="I24">
        <v>595.76923079999995</v>
      </c>
      <c r="J24">
        <v>13.116265</v>
      </c>
      <c r="K24">
        <v>5.0766392939999996</v>
      </c>
      <c r="L24">
        <v>-2.19199E-3</v>
      </c>
      <c r="M24">
        <v>0.218709446</v>
      </c>
      <c r="N24">
        <v>565</v>
      </c>
      <c r="O24">
        <v>0.98459682999999998</v>
      </c>
      <c r="P24">
        <v>10</v>
      </c>
      <c r="Q24" t="s">
        <v>31</v>
      </c>
      <c r="R24" t="s">
        <v>71</v>
      </c>
      <c r="S24">
        <v>0</v>
      </c>
      <c r="T24">
        <f t="shared" si="0"/>
        <v>100</v>
      </c>
      <c r="U24">
        <v>73</v>
      </c>
      <c r="V24">
        <f t="shared" si="1"/>
        <v>27</v>
      </c>
      <c r="W24" t="s">
        <v>22</v>
      </c>
      <c r="Y24" t="s">
        <v>72</v>
      </c>
      <c r="AB24" s="1">
        <v>0.19800000000000001</v>
      </c>
      <c r="AC24" t="s">
        <v>69</v>
      </c>
      <c r="AD24">
        <v>12.8</v>
      </c>
      <c r="AE24">
        <v>3.7</v>
      </c>
      <c r="AF24">
        <v>1.5</v>
      </c>
      <c r="AG24">
        <v>3</v>
      </c>
    </row>
    <row r="25" spans="1:33" ht="15" thickBot="1" x14ac:dyDescent="0.35">
      <c r="A25">
        <v>4</v>
      </c>
      <c r="B25" t="s">
        <v>17</v>
      </c>
      <c r="C25" t="s">
        <v>17</v>
      </c>
      <c r="D25" t="s">
        <v>18</v>
      </c>
      <c r="E25">
        <v>25</v>
      </c>
      <c r="F25" s="2" t="s">
        <v>163</v>
      </c>
      <c r="G25" t="s">
        <v>19</v>
      </c>
      <c r="H25">
        <v>421</v>
      </c>
      <c r="I25">
        <v>438.54237289999998</v>
      </c>
      <c r="J25">
        <v>7.0729236579999997</v>
      </c>
      <c r="K25">
        <v>4.6411486139999996</v>
      </c>
      <c r="L25">
        <v>-3.5069177E-2</v>
      </c>
      <c r="M25">
        <v>0.161122881</v>
      </c>
      <c r="N25">
        <v>413</v>
      </c>
      <c r="O25">
        <v>0.97356419199999999</v>
      </c>
      <c r="P25">
        <v>1</v>
      </c>
      <c r="Q25" t="s">
        <v>20</v>
      </c>
      <c r="R25" t="s">
        <v>21</v>
      </c>
      <c r="S25">
        <v>88</v>
      </c>
      <c r="T25">
        <f t="shared" si="0"/>
        <v>12</v>
      </c>
      <c r="U25">
        <v>90</v>
      </c>
      <c r="V25">
        <f t="shared" si="1"/>
        <v>10</v>
      </c>
      <c r="W25" t="s">
        <v>22</v>
      </c>
      <c r="Y25" t="s">
        <v>23</v>
      </c>
      <c r="AB25" s="1">
        <v>3.2099999999999997E-2</v>
      </c>
      <c r="AC25" t="s">
        <v>17</v>
      </c>
      <c r="AD25">
        <v>1.4</v>
      </c>
      <c r="AE25">
        <v>0.3</v>
      </c>
      <c r="AF25">
        <v>4</v>
      </c>
      <c r="AG25">
        <v>0.4</v>
      </c>
    </row>
    <row r="26" spans="1:33" ht="15" thickBot="1" x14ac:dyDescent="0.35">
      <c r="A26">
        <v>4</v>
      </c>
      <c r="B26" t="s">
        <v>24</v>
      </c>
      <c r="C26" t="s">
        <v>24</v>
      </c>
      <c r="D26" t="s">
        <v>18</v>
      </c>
      <c r="E26">
        <v>27</v>
      </c>
      <c r="F26" s="2" t="s">
        <v>163</v>
      </c>
      <c r="G26" t="s">
        <v>25</v>
      </c>
      <c r="H26">
        <v>602</v>
      </c>
      <c r="I26">
        <v>645.84615380000002</v>
      </c>
      <c r="J26">
        <v>11.96250813</v>
      </c>
      <c r="K26">
        <v>5.137622339</v>
      </c>
      <c r="L26">
        <v>1.4086031000000001E-2</v>
      </c>
      <c r="M26">
        <v>0.17375774999999999</v>
      </c>
      <c r="N26">
        <v>592</v>
      </c>
      <c r="O26">
        <v>0.98420504200000003</v>
      </c>
      <c r="P26">
        <v>2</v>
      </c>
      <c r="Q26" t="s">
        <v>26</v>
      </c>
      <c r="R26" t="s">
        <v>27</v>
      </c>
      <c r="S26">
        <v>90</v>
      </c>
      <c r="T26">
        <f t="shared" si="0"/>
        <v>10</v>
      </c>
      <c r="U26">
        <v>78</v>
      </c>
      <c r="V26">
        <f t="shared" si="1"/>
        <v>22</v>
      </c>
      <c r="W26" t="s">
        <v>22</v>
      </c>
      <c r="Y26" t="s">
        <v>28</v>
      </c>
      <c r="AB26" s="1">
        <v>3.9E-2</v>
      </c>
      <c r="AC26" t="s">
        <v>24</v>
      </c>
      <c r="AD26">
        <v>1.3</v>
      </c>
      <c r="AE26">
        <v>1.5</v>
      </c>
      <c r="AF26">
        <v>4</v>
      </c>
      <c r="AG26">
        <v>0.2</v>
      </c>
    </row>
    <row r="27" spans="1:33" ht="15" thickBot="1" x14ac:dyDescent="0.35">
      <c r="A27">
        <v>4</v>
      </c>
      <c r="B27" t="s">
        <v>29</v>
      </c>
      <c r="C27" t="s">
        <v>29</v>
      </c>
      <c r="D27" t="s">
        <v>18</v>
      </c>
      <c r="E27">
        <v>24</v>
      </c>
      <c r="F27" s="2" t="s">
        <v>163</v>
      </c>
      <c r="G27" t="s">
        <v>30</v>
      </c>
      <c r="H27">
        <v>67</v>
      </c>
      <c r="I27">
        <v>69.142857140000004</v>
      </c>
      <c r="J27">
        <v>2.530098384</v>
      </c>
      <c r="K27">
        <v>0.53905283599999998</v>
      </c>
      <c r="L27">
        <v>0.54578315899999996</v>
      </c>
      <c r="M27">
        <v>-0.20343508199999999</v>
      </c>
      <c r="N27">
        <v>67</v>
      </c>
      <c r="O27">
        <v>0.15101664300000001</v>
      </c>
      <c r="P27">
        <v>3</v>
      </c>
      <c r="Q27" t="s">
        <v>31</v>
      </c>
      <c r="R27" t="s">
        <v>32</v>
      </c>
      <c r="S27">
        <v>80</v>
      </c>
      <c r="T27">
        <f t="shared" si="0"/>
        <v>20</v>
      </c>
      <c r="U27">
        <v>95</v>
      </c>
      <c r="V27">
        <f t="shared" si="1"/>
        <v>5</v>
      </c>
      <c r="W27" t="s">
        <v>22</v>
      </c>
      <c r="Y27" t="s">
        <v>33</v>
      </c>
      <c r="AB27" s="1">
        <v>3.7400000000000003E-2</v>
      </c>
      <c r="AC27" t="s">
        <v>29</v>
      </c>
      <c r="AD27">
        <v>3</v>
      </c>
      <c r="AE27">
        <v>0.8</v>
      </c>
      <c r="AF27">
        <v>4</v>
      </c>
      <c r="AG27">
        <v>1</v>
      </c>
    </row>
    <row r="28" spans="1:33" ht="27.6" thickBot="1" x14ac:dyDescent="0.35">
      <c r="A28">
        <v>4</v>
      </c>
      <c r="B28" t="s">
        <v>73</v>
      </c>
      <c r="C28" t="s">
        <v>73</v>
      </c>
      <c r="D28" t="s">
        <v>74</v>
      </c>
      <c r="E28">
        <v>7</v>
      </c>
      <c r="F28" s="2" t="s">
        <v>160</v>
      </c>
      <c r="G28" t="s">
        <v>75</v>
      </c>
      <c r="H28">
        <v>545</v>
      </c>
      <c r="I28">
        <v>611.44736839999996</v>
      </c>
      <c r="J28">
        <v>17.33173378</v>
      </c>
      <c r="K28">
        <v>4.6413096190000003</v>
      </c>
      <c r="L28">
        <v>-0.13196327899999999</v>
      </c>
      <c r="M28">
        <v>0.39453165299999998</v>
      </c>
      <c r="N28">
        <v>547</v>
      </c>
      <c r="O28">
        <v>0.96622045899999998</v>
      </c>
      <c r="P28">
        <v>11</v>
      </c>
      <c r="Q28" t="s">
        <v>20</v>
      </c>
      <c r="R28" t="s">
        <v>76</v>
      </c>
      <c r="S28">
        <v>0</v>
      </c>
      <c r="T28">
        <f t="shared" si="0"/>
        <v>100</v>
      </c>
      <c r="U28">
        <v>65</v>
      </c>
      <c r="V28">
        <f t="shared" si="1"/>
        <v>35</v>
      </c>
      <c r="W28" t="s">
        <v>22</v>
      </c>
      <c r="Y28" t="s">
        <v>77</v>
      </c>
      <c r="AB28" s="1">
        <v>0.31230000000000002</v>
      </c>
      <c r="AC28" t="s">
        <v>73</v>
      </c>
      <c r="AD28">
        <v>21</v>
      </c>
      <c r="AE28" t="s">
        <v>22</v>
      </c>
      <c r="AF28">
        <v>5</v>
      </c>
      <c r="AG28">
        <v>1</v>
      </c>
    </row>
    <row r="29" spans="1:33" ht="27.6" thickBot="1" x14ac:dyDescent="0.35">
      <c r="A29">
        <v>4</v>
      </c>
      <c r="B29" t="s">
        <v>78</v>
      </c>
      <c r="C29" t="s">
        <v>78</v>
      </c>
      <c r="D29" t="s">
        <v>74</v>
      </c>
      <c r="E29">
        <v>5</v>
      </c>
      <c r="F29" s="2" t="s">
        <v>160</v>
      </c>
      <c r="G29" t="s">
        <v>79</v>
      </c>
      <c r="H29">
        <v>548</v>
      </c>
      <c r="I29">
        <v>576.41176470000005</v>
      </c>
      <c r="J29">
        <v>9.1975076159999993</v>
      </c>
      <c r="K29">
        <v>4.7467744879999998</v>
      </c>
      <c r="L29">
        <v>-5.2396680000000003E-3</v>
      </c>
      <c r="M29">
        <v>0.34780359900000002</v>
      </c>
      <c r="N29">
        <v>547</v>
      </c>
      <c r="O29">
        <v>0.96689968699999995</v>
      </c>
      <c r="P29">
        <v>12</v>
      </c>
      <c r="Q29" t="s">
        <v>26</v>
      </c>
      <c r="R29" t="s">
        <v>80</v>
      </c>
      <c r="S29">
        <v>0</v>
      </c>
      <c r="T29">
        <f t="shared" si="0"/>
        <v>100</v>
      </c>
      <c r="U29">
        <v>58</v>
      </c>
      <c r="V29">
        <f t="shared" si="1"/>
        <v>42</v>
      </c>
      <c r="W29" t="s">
        <v>22</v>
      </c>
      <c r="Y29" t="s">
        <v>81</v>
      </c>
      <c r="AB29" s="1">
        <v>0.16750000000000001</v>
      </c>
      <c r="AC29" t="s">
        <v>78</v>
      </c>
      <c r="AD29">
        <v>57</v>
      </c>
      <c r="AE29" t="s">
        <v>22</v>
      </c>
      <c r="AF29">
        <v>19</v>
      </c>
      <c r="AG29">
        <v>1</v>
      </c>
    </row>
    <row r="30" spans="1:33" ht="15" thickBot="1" x14ac:dyDescent="0.35">
      <c r="A30">
        <v>4</v>
      </c>
      <c r="B30" t="s">
        <v>82</v>
      </c>
      <c r="C30" t="s">
        <v>82</v>
      </c>
      <c r="D30" t="s">
        <v>74</v>
      </c>
      <c r="E30">
        <v>12</v>
      </c>
      <c r="F30" s="2" t="s">
        <v>161</v>
      </c>
      <c r="G30" t="s">
        <v>83</v>
      </c>
      <c r="H30">
        <v>719</v>
      </c>
      <c r="I30">
        <v>785.49549549999995</v>
      </c>
      <c r="J30">
        <v>15.87899215</v>
      </c>
      <c r="K30">
        <v>5.3946597020000002</v>
      </c>
      <c r="L30">
        <v>-7.9618957000000004E-2</v>
      </c>
      <c r="M30">
        <v>0.36340987800000002</v>
      </c>
      <c r="N30">
        <v>709</v>
      </c>
      <c r="O30">
        <v>0.98781798899999995</v>
      </c>
      <c r="P30">
        <v>13</v>
      </c>
      <c r="Q30" t="s">
        <v>31</v>
      </c>
      <c r="R30" t="s">
        <v>84</v>
      </c>
      <c r="S30">
        <v>0</v>
      </c>
      <c r="T30">
        <f t="shared" si="0"/>
        <v>100</v>
      </c>
      <c r="U30">
        <v>93</v>
      </c>
      <c r="V30">
        <f t="shared" si="1"/>
        <v>7</v>
      </c>
      <c r="W30" t="s">
        <v>22</v>
      </c>
      <c r="Y30" t="s">
        <v>85</v>
      </c>
      <c r="AB30" s="1">
        <v>6.0600000000000001E-2</v>
      </c>
      <c r="AC30" t="s">
        <v>82</v>
      </c>
      <c r="AD30">
        <v>1.9</v>
      </c>
      <c r="AE30" t="s">
        <v>22</v>
      </c>
      <c r="AF30">
        <v>0</v>
      </c>
      <c r="AG30">
        <v>2</v>
      </c>
    </row>
  </sheetData>
  <sortState xmlns:xlrd2="http://schemas.microsoft.com/office/spreadsheetml/2017/richdata2" ref="A2:AG30">
    <sortCondition ref="A2:A3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valeria hernandez</dc:creator>
  <cp:lastModifiedBy>valeria hernandez</cp:lastModifiedBy>
  <dcterms:created xsi:type="dcterms:W3CDTF">2025-10-30T15:54:34Z</dcterms:created>
  <dcterms:modified xsi:type="dcterms:W3CDTF">2026-03-19T17:32:49Z</dcterms:modified>
</cp:coreProperties>
</file>